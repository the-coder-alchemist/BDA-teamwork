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mmur\Documents\Big Data Analytics\bda-proj\BDA-teamwork\_reference\"/>
    </mc:Choice>
  </mc:AlternateContent>
  <xr:revisionPtr revIDLastSave="0" documentId="13_ncr:1_{6A0F0885-2C6B-455D-BC78-8A8F882EF71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eam_Pipeline" sheetId="4" r:id="rId1"/>
    <sheet name="Project Schedule" sheetId="1" r:id="rId2"/>
    <sheet name="Role Matrix" sheetId="3" r:id="rId3"/>
    <sheet name="Script" sheetId="5" r:id="rId4"/>
    <sheet name="Tech Stack" sheetId="7" r:id="rId5"/>
    <sheet name="Data Schema (CSV Structure)" sheetId="2" r:id="rId6"/>
    <sheet name="Requirements.txt" sheetId="6" r:id="rId7"/>
    <sheet name="Moodle" sheetId="8" r:id="rId8"/>
  </sheets>
  <definedNames>
    <definedName name="Email_BBK">Team_Pipeline!$B$2:$B$7</definedName>
    <definedName name="Role">'Role Matrix'!$A$2:$A$4</definedName>
    <definedName name="Status">Team_Pipeline!$D$2:$D$8</definedName>
    <definedName name="Team_Member_Name">Team_Pipeline!$A$2:$A$7</definedName>
    <definedName name="Team_Member_Pair">'Role Matrix'!$B$2:$B$4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18" i="1"/>
  <c r="G16" i="1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G15" i="1"/>
  <c r="G6" i="1"/>
  <c r="G19" i="1"/>
  <c r="G2" i="1"/>
  <c r="G3" i="1"/>
  <c r="G4" i="1"/>
  <c r="G5" i="1"/>
  <c r="G7" i="1"/>
  <c r="G8" i="1"/>
  <c r="G9" i="1"/>
  <c r="G10" i="1"/>
  <c r="G11" i="1"/>
  <c r="G12" i="1"/>
  <c r="G13" i="1"/>
  <c r="G14" i="1"/>
  <c r="G17" i="1"/>
</calcChain>
</file>

<file path=xl/sharedStrings.xml><?xml version="1.0" encoding="utf-8"?>
<sst xmlns="http://schemas.openxmlformats.org/spreadsheetml/2006/main" count="549" uniqueCount="298">
  <si>
    <t>Team_Member_Name</t>
  </si>
  <si>
    <t>Email_BBK</t>
  </si>
  <si>
    <t>Status</t>
  </si>
  <si>
    <t>Definition</t>
  </si>
  <si>
    <t>Proposed Team Name</t>
  </si>
  <si>
    <t>Proposed by</t>
  </si>
  <si>
    <t>Carys</t>
  </si>
  <si>
    <t>Gary</t>
  </si>
  <si>
    <t>William</t>
  </si>
  <si>
    <t>Mei Len</t>
  </si>
  <si>
    <t>Samuel</t>
  </si>
  <si>
    <t>Toby</t>
  </si>
  <si>
    <t>Vote Count</t>
  </si>
  <si>
    <t>Carys Williams</t>
  </si>
  <si>
    <t>cwilli46@student.bbk.ac.uk</t>
  </si>
  <si>
    <t>Backlog</t>
  </si>
  <si>
    <t>Task Identified</t>
  </si>
  <si>
    <t>DataForge Analytics</t>
  </si>
  <si>
    <t>Gary Murphy</t>
  </si>
  <si>
    <t>gmurph05@student.bbk.ac.uk</t>
  </si>
  <si>
    <t>Planned</t>
  </si>
  <si>
    <t>Task Scheduled</t>
  </si>
  <si>
    <t>The Scalables</t>
  </si>
  <si>
    <t>William Mckenna</t>
  </si>
  <si>
    <t>wmcken01@student.bbk.ac.uk</t>
  </si>
  <si>
    <t>In Progress</t>
  </si>
  <si>
    <t>Task started</t>
  </si>
  <si>
    <t>Parallel Minds</t>
  </si>
  <si>
    <t>Mei Len Vorkel</t>
  </si>
  <si>
    <t>mvorke01@student.bbk.ac.uk</t>
  </si>
  <si>
    <t>Completed</t>
  </si>
  <si>
    <t>Task completed</t>
  </si>
  <si>
    <t>Byte Cohort</t>
  </si>
  <si>
    <t>Samuel Weldemariam</t>
  </si>
  <si>
    <t>swelde03@student.bbk.ac.uk</t>
  </si>
  <si>
    <t>Cancelled</t>
  </si>
  <si>
    <t>Task cancelled</t>
  </si>
  <si>
    <t>The Data Streamers</t>
  </si>
  <si>
    <t>Toby Lock</t>
  </si>
  <si>
    <t>tlock01@student.bbk.ac.uk</t>
  </si>
  <si>
    <t>Blocked</t>
  </si>
  <si>
    <t>Task unable to progress</t>
  </si>
  <si>
    <t>Analytix</t>
  </si>
  <si>
    <t>Overdue</t>
  </si>
  <si>
    <t>Task Overdue</t>
  </si>
  <si>
    <t>DataHive</t>
  </si>
  <si>
    <t>Github Emails</t>
  </si>
  <si>
    <t>Insight Engine</t>
  </si>
  <si>
    <t>Email (Github)</t>
  </si>
  <si>
    <t>The Pipeline</t>
  </si>
  <si>
    <t>carysewilliams7@gmail.com</t>
  </si>
  <si>
    <t>The Schema Team</t>
  </si>
  <si>
    <t>Indexing Agents</t>
  </si>
  <si>
    <t>wmpmck@googlemail.com</t>
  </si>
  <si>
    <t>Team Big DAWG (Big Data Analytics Working Group)</t>
  </si>
  <si>
    <t>The NOISE Makers (Network of Optimized Inference &amp; Speech Engineers)</t>
  </si>
  <si>
    <t>samuelweldeluel2021@gmail.com</t>
  </si>
  <si>
    <t>Team BARK ( Big Data Audio Reconciliation Kit)</t>
  </si>
  <si>
    <t>tobylock68@gmail.com</t>
  </si>
  <si>
    <t>Data cleaning and Recommendation system for studio Ghibi Movies</t>
  </si>
  <si>
    <t>Team XXX</t>
  </si>
  <si>
    <t>Sequence No.</t>
  </si>
  <si>
    <t>Phase</t>
  </si>
  <si>
    <t>Task</t>
  </si>
  <si>
    <t>Assignee</t>
  </si>
  <si>
    <t>Start Date</t>
  </si>
  <si>
    <t>End Date</t>
  </si>
  <si>
    <t>Days Count</t>
  </si>
  <si>
    <t>Deliverable</t>
  </si>
  <si>
    <t>Notes</t>
  </si>
  <si>
    <t>Phase 1: Setup</t>
  </si>
  <si>
    <t>Intro Meeting</t>
  </si>
  <si>
    <t>All</t>
  </si>
  <si>
    <t>Project Plan</t>
  </si>
  <si>
    <r>
      <rPr>
        <b/>
        <i/>
        <sz val="11"/>
        <color rgb="FFC00000"/>
        <rFont val="Calibri"/>
        <family val="2"/>
        <scheme val="minor"/>
      </rPr>
      <t>Bank Holiday = Mon, 4-May-2026</t>
    </r>
    <r>
      <rPr>
        <i/>
        <sz val="11"/>
        <color rgb="FFC00000"/>
        <rFont val="Calibri"/>
        <family val="2"/>
        <scheme val="minor"/>
      </rPr>
      <t xml:space="preserve">
Decide on Team Name &amp; Assign Tasks
Decide on in-person meet-up date/time/venue</t>
    </r>
  </si>
  <si>
    <r>
      <rPr>
        <sz val="11"/>
        <color rgb="FF000000"/>
        <rFont val="Calibri"/>
        <family val="2"/>
        <scheme val="minor"/>
      </rPr>
      <t xml:space="preserve">Initialize GitHub Repo &amp; </t>
    </r>
    <r>
      <rPr>
        <b/>
        <sz val="11"/>
        <color rgb="FF000000"/>
        <rFont val="Calibri"/>
        <family val="2"/>
        <scheme val="minor"/>
      </rPr>
      <t>invite steliosot</t>
    </r>
  </si>
  <si>
    <t>Repo URL</t>
  </si>
  <si>
    <r>
      <rPr>
        <b/>
        <sz val="11"/>
        <color theme="1"/>
        <rFont val="Calibri"/>
        <family val="2"/>
        <scheme val="minor"/>
      </rPr>
      <t xml:space="preserve">Mei Len Vorkel </t>
    </r>
    <r>
      <rPr>
        <sz val="11"/>
        <color theme="1"/>
        <rFont val="Calibri"/>
        <family val="2"/>
        <scheme val="minor"/>
      </rPr>
      <t>offered to do this in the group chat (2026-05-02). Team Name needed. All to confirm</t>
    </r>
  </si>
  <si>
    <t>Install Vosk &amp; Geminilocal env</t>
  </si>
  <si>
    <t>Env ready</t>
  </si>
  <si>
    <t>Team to decide between Gemini &amp; Ollama first.
Set up the vosk-model-en-us-0.22-lgraph. Vosk to be used for transcription</t>
  </si>
  <si>
    <t>Team Recording Session (30+ turns)</t>
  </si>
  <si>
    <t>Raw Audio/CSV</t>
  </si>
  <si>
    <t>All 6 members record at least 5 audio phrases each (total 30+ rows) to ensure you exceed the 25-row minimum. (See Script tab in this file for individual speaker text)
(perhaps complete in kick-off meeting - if it is recorded)</t>
  </si>
  <si>
    <t>Milestone Meeting</t>
  </si>
  <si>
    <t>Phase 1 Closeout &amp; 
Phase 2 Intro</t>
  </si>
  <si>
    <t>Monday evening at 6 or 7 pm for 30min
(There is no BDA class on this Monday)
***THIS IS A PLACEHOLDER. WE MAY NOT NEED IT***
This is to confirm that the Phase 2 team have everything they need and to resolve any outstanding issues</t>
  </si>
  <si>
    <t>Phase 2: Development</t>
  </si>
  <si>
    <t>Stage 1: Vosk Microphone Script</t>
  </si>
  <si>
    <t>Data Engineers</t>
  </si>
  <si>
    <t>raw_vosk_text</t>
  </si>
  <si>
    <t>create a python script that outputs the initial timestamp, name, raw_text_vosk, and time_taken_sec.</t>
  </si>
  <si>
    <t>Stage 2: AI Correction Integration</t>
  </si>
  <si>
    <t>text (corrected)</t>
  </si>
  <si>
    <t>Implement the Gemini script to clean up the Vosk output into the text column.</t>
  </si>
  <si>
    <t>Stage 3: Python Feature Enrichment</t>
  </si>
  <si>
    <t>AI &amp; Logic Devs</t>
  </si>
  <si>
    <t>Enriched CSV</t>
  </si>
  <si>
    <t>Write the Python functions for 
-question_flag, 
-num_words, 
-speech_rate_wps, 
-speaker_turn
Connect Phase 1 and Phase 2 so the data flows from audio &gt; transcription &gt; AI &gt; enrichment &gt; CSV.</t>
  </si>
  <si>
    <t>Phase 2 Closeout &amp; 
Phase 3 Intro</t>
  </si>
  <si>
    <t>30min - Time TBD (We have a class on 18-May-2026)
***THIS IS A PLACEHOLDER. WE MAY NOT NEED IT***
This is to confirm that the Phase 3 team have everything they need and to resolve any outstanding issues</t>
  </si>
  <si>
    <t>Phase 3: Logic</t>
  </si>
  <si>
    <t>Stage 4: CSV Validation Script</t>
  </si>
  <si>
    <t>Validation Logs</t>
  </si>
  <si>
    <t>Write the logic to check for missing values, valid datetimes, and numeric constraints</t>
  </si>
  <si>
    <t>Stage 5: Analytics &amp; Stats Output</t>
  </si>
  <si>
    <t>Final Analytics</t>
  </si>
  <si>
    <t>Calculate the "Top 5 Speakers," "Average Speech Rate," and "Question Counts."</t>
  </si>
  <si>
    <t>Phase 4: Finalize</t>
  </si>
  <si>
    <t>Complexity Analysis &amp; README</t>
  </si>
  <si>
    <t>QA &amp; Documentation</t>
  </si>
  <si>
    <t>README.md</t>
  </si>
  <si>
    <t>Draft the README section explaining Big O notation for your processing (e.g., O(n) for CSV parsing).</t>
  </si>
  <si>
    <t>Record Team Video Presentation</t>
  </si>
  <si>
    <t>All (Led by QA &amp; Documentation Team)
Or
Individuals record and then hand to QA &amp; Doc team</t>
  </si>
  <si>
    <t>Video MP4/Link</t>
  </si>
  <si>
    <r>
      <rPr>
        <sz val="11"/>
        <color rgb="FF000000"/>
        <rFont val="Calibri"/>
        <family val="2"/>
        <scheme val="minor"/>
      </rPr>
      <t xml:space="preserve">Record a screen-share demo and have each member explain their contribution (per Section 10).
</t>
    </r>
    <r>
      <rPr>
        <b/>
        <i/>
        <sz val="11"/>
        <color rgb="FFFF0000"/>
        <rFont val="Calibri"/>
        <family val="2"/>
        <scheme val="minor"/>
      </rPr>
      <t>(***NOTE: THE INDIVIDUAL ASSIGNMENT IS MADE AVAILABLE THIS WEEK***)</t>
    </r>
  </si>
  <si>
    <t>Edit and Finalize Team Video Presentation</t>
  </si>
  <si>
    <r>
      <rPr>
        <b/>
        <sz val="11"/>
        <color rgb="FF000000"/>
        <rFont val="Calibri"/>
        <family val="2"/>
        <scheme val="minor"/>
      </rPr>
      <t xml:space="preserve">NOTE: Mon, 25-May-2026 is a Bank Holiday
</t>
    </r>
    <r>
      <rPr>
        <sz val="11"/>
        <color rgb="FF000000"/>
        <rFont val="Calibri"/>
        <family val="2"/>
        <scheme val="minor"/>
      </rPr>
      <t>Compile edit. Add captions, etc.</t>
    </r>
  </si>
  <si>
    <t xml:space="preserve">Phase 4 Closeout </t>
  </si>
  <si>
    <t>Monday evening at 6 or 7 pm for 30min
(There is no BDA class on this Monday)
***THIS IS A PLACEHOLDER. WE MAY NOT NEED IT***
This is to confirm that all phases are closed and that we have everything for 'submission'.</t>
  </si>
  <si>
    <t>Final Submission &amp; Peer Forms</t>
  </si>
  <si>
    <t>Individual</t>
  </si>
  <si>
    <t>PDF/GitHub</t>
  </si>
  <si>
    <t>Ensure everyone has their individual Peer_Evaluation_Form.docx ready. Do NOT review yourself.
(Peer reviews DO NOT go on GitHub)</t>
  </si>
  <si>
    <t>(**Buffer Time - for any outstanding tasks**)</t>
  </si>
  <si>
    <t>Submission Due</t>
  </si>
  <si>
    <t>The End.</t>
  </si>
  <si>
    <t>Total Project Days</t>
  </si>
  <si>
    <t>Role</t>
  </si>
  <si>
    <t>Team_Member_Pair</t>
  </si>
  <si>
    <t>Member 1 &amp; 2</t>
  </si>
  <si>
    <t>Vosk setup, Audio recording, Raw CSV output</t>
  </si>
  <si>
    <t>Member 3 &amp; 4</t>
  </si>
  <si>
    <t>Gemini/Ollama API, Transcript cleaning, Feature enrichment</t>
  </si>
  <si>
    <t>Member 5 &amp; 6</t>
  </si>
  <si>
    <t>Validation script, Analytics, Complexity report, Video editing</t>
  </si>
  <si>
    <t>Team_Member_No</t>
  </si>
  <si>
    <t>Member 1</t>
  </si>
  <si>
    <t>Member 2</t>
  </si>
  <si>
    <t>Member 3</t>
  </si>
  <si>
    <t>Member 4</t>
  </si>
  <si>
    <t>Member 5</t>
  </si>
  <si>
    <t>Member 6</t>
  </si>
  <si>
    <t>Team Assignment Script | 30 Turns</t>
  </si>
  <si>
    <t>Option 1 - Sequential</t>
  </si>
  <si>
    <t>Option 2 - Non-Sequential</t>
  </si>
  <si>
    <t>Turn Count</t>
  </si>
  <si>
    <t>Speaker_Number</t>
  </si>
  <si>
    <t>Speech</t>
  </si>
  <si>
    <t>Speaker 1</t>
  </si>
  <si>
    <t>Alright team, let's get this growth meeting started. We need to look at our Q3 scaling targets.</t>
  </si>
  <si>
    <t>Alright everyone, thanks for joining. Let's look at our growth strategy for the mobile app.</t>
  </si>
  <si>
    <t>The current roadmap shows a 20 percent increase in active users, but are we ready for that load?</t>
  </si>
  <si>
    <t>Speaker 2</t>
  </si>
  <si>
    <t>I've been tracking user sign-ups, and while they're up, the conversion from free to paid is low.</t>
  </si>
  <si>
    <t>I want to ensure our vision for the mobile app aligns with our actual developer capacity.</t>
  </si>
  <si>
    <t>Speaker 3</t>
  </si>
  <si>
    <t>I think the onboarding flow is the bottleneck; it's currently taking users too long to find the value.</t>
  </si>
  <si>
    <t>Before we dive into the details, did everyone have a chance to review the agenda I sent out?</t>
  </si>
  <si>
    <t>That's a fair point. Carys, what does the pricing feedback look like from those early users?</t>
  </si>
  <si>
    <t>Speaker All</t>
  </si>
  <si>
    <t>All Members</t>
  </si>
  <si>
    <t>(Various)</t>
  </si>
  <si>
    <t>They love the features but find the entry price steep. I'm thinking about a student discount tier.</t>
  </si>
  <si>
    <t>Great. Let's start with the financial outlook and our current burn rate.</t>
  </si>
  <si>
    <t>Speaker 4</t>
  </si>
  <si>
    <t>If we add a student tier, we'll need to update the API to verify academic email addresses.</t>
  </si>
  <si>
    <t>On the sales side, we are seeing a lot of interest from the education sector.</t>
  </si>
  <si>
    <t>Speaker 5</t>
  </si>
  <si>
    <t>And from a marketing perspective, we'd need to target universities directly on social media.</t>
  </si>
  <si>
    <t>I'm proposing a student discount tier to capture that demographic before our competitors do.</t>
  </si>
  <si>
    <t>Before we go that far, can we fix the login bug? It's still crashing for some Android users.</t>
  </si>
  <si>
    <t>Can we target students first with a 50 percent reduction for the first six months?</t>
  </si>
  <si>
    <t>I have a patch ready for that, but we need to run a full penetration test on the new build first.</t>
  </si>
  <si>
    <t>Early users are complaining about the high entry price for the premium features.</t>
  </si>
  <si>
    <t>Speaker 6</t>
  </si>
  <si>
    <t>I've allocated budget for the security audit, but we need to decide if we're hiring more devs.</t>
  </si>
  <si>
    <t>If we lower pricing for the first 100 sign-ups, we can gather much better testimonial data.</t>
  </si>
  <si>
    <t>Growth is our priority. If the tech debt is slowing us down, we hire. Mei Len, what's your take?</t>
  </si>
  <si>
    <t>I've been looking at the app interface, and the onboarding flow is still a bit clunky.</t>
  </si>
  <si>
    <t>We definitely need a backend specialist if we plan on horizontal scaling by Q4.</t>
  </si>
  <si>
    <t>We fixed the bug where the login button would disappear on smaller screens.</t>
  </si>
  <si>
    <t>If we hire now, I can start building the brand story around our new 'speed and security' focus.</t>
  </si>
  <si>
    <t>However, the user experience during the file upload process needs a complete overhaul.</t>
  </si>
  <si>
    <t>Wait, if we change the messaging, will that affect our current SEO rankings for 'meeting analytics'?</t>
  </si>
  <si>
    <t>Does the design team have the new mockups ready for the dashboard?</t>
  </si>
  <si>
    <t>It shouldn't, as long as we keep the core keywords in our meta descriptions and blogs.</t>
  </si>
  <si>
    <t>I really think we need to prioritize accessibility features in the next sprint.</t>
  </si>
  <si>
    <t>I'm more worried about the UI. Should the dashboard show analytics first or the recording list?</t>
  </si>
  <si>
    <t>Technically speaking, our API integration with the cloud provider is finally stable.</t>
  </si>
  <si>
    <t>Let's go with analytics first. That's our unique selling point compared to the competitors.</t>
  </si>
  <si>
    <t>But if we scale to 10,000 users, we're going to need better database horizontal scaling.</t>
  </si>
  <si>
    <t>Regarding the office, the lease is up for renewal. Should we stay remote or get a hub?</t>
  </si>
  <si>
    <t>I'm worried about the load balancing during peak morning hours in the US.</t>
  </si>
  <si>
    <t>Actually, most of the sales team prefers a hybrid model. It helps with client calls.</t>
  </si>
  <si>
    <t>Should we consider moving our hosting to a more localized server for European users?</t>
  </si>
  <si>
    <t>I'm happy as long as I don't have to commute every day. The current setup works for design.</t>
  </si>
  <si>
    <t>The security updates have been patched, but we need to run a full penetration test next week.</t>
  </si>
  <si>
    <t>Let's look into a smaller hub. Toby, can you get us some quotes by our next meeting?</t>
  </si>
  <si>
    <t>Our SEO progress has been steady, but our social media ads are underperforming.</t>
  </si>
  <si>
    <t>Will do. I'll also update the budget for the new API tools Mei Len mentioned earlier.</t>
  </si>
  <si>
    <t>I want to refocus our marketing budget toward TikTok and Instagram influencers.</t>
  </si>
  <si>
    <t>Thanks. I'll start the documentation for the database migration tonight.</t>
  </si>
  <si>
    <t>Does the email campaign have a high enough click-through rate to justify the cost?</t>
  </si>
  <si>
    <t>I'll coordinate with Carys on the pricing copy for the new student landing page.</t>
  </si>
  <si>
    <t>We need to simplify the brand messaging so it's clear we are a 'meeting analytics' tool.</t>
  </si>
  <si>
    <t>Excellent. Does anyone have any other blockers before we wrap up for the day?</t>
  </si>
  <si>
    <t>I'll have a full report on the acquisition costs by Friday morning.</t>
  </si>
  <si>
    <t>Just a reminder that the new mockups are in the shared folder for everyone to review.</t>
  </si>
  <si>
    <t>I've updated the budget allocation for the next quarter to include three new engineering hires.</t>
  </si>
  <si>
    <t>Got it. I'll check the specs to make sure the load times stay under two seconds.</t>
  </si>
  <si>
    <t>We need to finalize the office lease agreement before the end of the month.</t>
  </si>
  <si>
    <t>I'll send the updated sales forecast to Toby after this call.</t>
  </si>
  <si>
    <t>Are we all in agreement that the next all-hands meeting should be on June 13th?</t>
  </si>
  <si>
    <t>Perfect. I'll have the final financial summary ready for our all-hands on June 13th.</t>
  </si>
  <si>
    <t>I'll send out the summary notes and task assignments by EOD.</t>
  </si>
  <si>
    <t>Great work today, team. Let's execute on these items and meet again next week. Meeting adjourned.</t>
  </si>
  <si>
    <t>If there's nothing else, I think we can adjourn for today. Good work everyone.</t>
  </si>
  <si>
    <t>C</t>
  </si>
  <si>
    <t>https://github.com/warestack/bda/blob/main/team-project/README.md</t>
  </si>
  <si>
    <t>3. Recommended technologies</t>
  </si>
  <si>
    <t>Use:</t>
  </si>
  <si>
    <t>Python</t>
  </si>
  <si>
    <t>Vosk speech recognition</t>
  </si>
  <si>
    <r>
      <t>Vosk model: </t>
    </r>
    <r>
      <rPr>
        <sz val="10"/>
        <color rgb="FF1F2328"/>
        <rFont val="Consolas"/>
        <family val="3"/>
      </rPr>
      <t>vosk-model-en-us-0.22-lgraph</t>
    </r>
    <r>
      <rPr>
        <sz val="12"/>
        <color rgb="FF1F2328"/>
        <rFont val="Segoe UI"/>
        <family val="2"/>
      </rPr>
      <t> (128M)</t>
    </r>
  </si>
  <si>
    <r>
      <rPr>
        <i/>
        <sz val="12"/>
        <color rgb="FFFF0000"/>
        <rFont val="Segoe UI"/>
        <family val="2"/>
      </rPr>
      <t>Gemini API</t>
    </r>
    <r>
      <rPr>
        <sz val="12"/>
        <color rgb="FF1F2328"/>
        <rFont val="Segoe UI"/>
        <family val="2"/>
      </rPr>
      <t xml:space="preserve"> for transcript correction</t>
    </r>
  </si>
  <si>
    <t>CSV files for storing the dataset</t>
  </si>
  <si>
    <t>IDE = VS Code</t>
  </si>
  <si>
    <t>Screen Recording = Microsoft Teams (Individual Meetings)</t>
  </si>
  <si>
    <t>Video Editing = DaVinci Resolve</t>
  </si>
  <si>
    <t>Column Name</t>
  </si>
  <si>
    <t>Source</t>
  </si>
  <si>
    <t>Type</t>
  </si>
  <si>
    <t>Description/Logic</t>
  </si>
  <si>
    <t>Task Start</t>
  </si>
  <si>
    <t>Task End</t>
  </si>
  <si>
    <t xml:space="preserve">Name </t>
  </si>
  <si>
    <t>timestamp</t>
  </si>
  <si>
    <t>Vosk Script</t>
  </si>
  <si>
    <t>Datetime</t>
  </si>
  <si>
    <t>ISO format timestamp of the turn</t>
  </si>
  <si>
    <t>name</t>
  </si>
  <si>
    <t>String</t>
  </si>
  <si>
    <t>Name of the speaker</t>
  </si>
  <si>
    <t>raw_text_vosk</t>
  </si>
  <si>
    <t>Original transcript from Vosk (imperfect)</t>
  </si>
  <si>
    <t>text</t>
  </si>
  <si>
    <t>AI Model</t>
  </si>
  <si>
    <t>AI corrected version of raw_text_vosk</t>
  </si>
  <si>
    <t>time_taken_sec</t>
  </si>
  <si>
    <t>Float</t>
  </si>
  <si>
    <t>Duration of the speech segment</t>
  </si>
  <si>
    <t>question_flag</t>
  </si>
  <si>
    <t>Python Logic</t>
  </si>
  <si>
    <t>Boolean</t>
  </si>
  <si>
    <t>True if text ends with '?'</t>
  </si>
  <si>
    <t>num_words</t>
  </si>
  <si>
    <t>Integer</t>
  </si>
  <si>
    <t>Word count of the corrected text</t>
  </si>
  <si>
    <t>text_size_chars</t>
  </si>
  <si>
    <t>Character count of the corrected text</t>
  </si>
  <si>
    <t>speech_rate_wps</t>
  </si>
  <si>
    <t>num_words / time_taken_sec</t>
  </si>
  <si>
    <t>speaker_turn_id</t>
  </si>
  <si>
    <t>Cumulative turn count per speaker</t>
  </si>
  <si>
    <t>Example corrected data:</t>
  </si>
  <si>
    <t>2026-04-28T10:00:05</t>
  </si>
  <si>
    <t>Stelios</t>
  </si>
  <si>
    <t>helo team today we discuss mobile app growth</t>
  </si>
  <si>
    <t>Hello team, today we discuss mobile app growth.</t>
  </si>
  <si>
    <t>2026-04-28T10:00:18</t>
  </si>
  <si>
    <t>Mary</t>
  </si>
  <si>
    <t>can we target students first</t>
  </si>
  <si>
    <t>Can we target students first?</t>
  </si>
  <si>
    <t>2026-04-28T10:00:30</t>
  </si>
  <si>
    <t>Kate</t>
  </si>
  <si>
    <t>i think we need lower pricing for early users</t>
  </si>
  <si>
    <t>I think we need lower pricing for early users.</t>
  </si>
  <si>
    <t>Example enriched data:</t>
  </si>
  <si>
    <t>timestamp values can be parsed as dates/times.
Keep from the raw data.</t>
  </si>
  <si>
    <t>Keep from the raw data.</t>
  </si>
  <si>
    <t xml:space="preserve">	AI-corrected transcript.</t>
  </si>
  <si>
    <t>time_taken_sec is numeric and greater than 0.
(Convert text to number?)
Keep from the raw data.</t>
  </si>
  <si>
    <t>question_flag contains boolean values.
True if text ends with ?, otherwise False.</t>
  </si>
  <si>
    <t>num_words is numeric and greater than 0.
Number of words in text.</t>
  </si>
  <si>
    <t>Number of characters in text.</t>
  </si>
  <si>
    <t>speech_rate_wps is numeric and greater than 0.
num_words / time_taken_sec, rounded sensibly.</t>
  </si>
  <si>
    <t>speaker_turn_id is numeric and greater than 0.
Running count for each speaker: first turn is 1, second turn is 2, etc.</t>
  </si>
  <si>
    <t>2026-04-28T10:00:40</t>
  </si>
  <si>
    <t>Ok, let's proceed!</t>
  </si>
  <si>
    <t>pandas&gt;=2.0</t>
  </si>
  <si>
    <t>requests&gt;=2.31</t>
  </si>
  <si>
    <t>vosk&gt;=0.3.45</t>
  </si>
  <si>
    <t>google-genai&gt;=1.0</t>
  </si>
  <si>
    <t>sounddevice&gt;=0.4</t>
  </si>
  <si>
    <t>https://moodle.bbk.ac.uk/mod/forum/discuss.php?d=291288</t>
  </si>
  <si>
    <t>https://moodle.bbk.ac.uk/mod/forum/discuss.php?d=290976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</si>
</sst>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ddd\,\ 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0"/>
      <color rgb="FF1F2328"/>
      <name val="Consolas"/>
      <family val="3"/>
    </font>
    <font>
      <b/>
      <i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rgb="FFFF0000"/>
      <name val="Segoe UI"/>
      <family val="2"/>
    </font>
    <font>
      <sz val="12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/>
    <xf numFmtId="0" fontId="6" fillId="0" borderId="0" xfId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165" fontId="16" fillId="0" borderId="0" xfId="0" applyNumberFormat="1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165" fontId="8" fillId="0" borderId="0" xfId="0" applyNumberFormat="1" applyFont="1" applyAlignment="1">
      <alignment horizontal="left" vertical="top" wrapText="1"/>
    </xf>
    <xf numFmtId="165" fontId="17" fillId="0" borderId="0" xfId="0" applyNumberFormat="1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1" fontId="16" fillId="0" borderId="0" xfId="0" applyNumberFormat="1" applyFont="1" applyAlignment="1">
      <alignment horizontal="center" vertical="top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top" wrapText="1"/>
    </xf>
    <xf numFmtId="0" fontId="20" fillId="3" borderId="0" xfId="0" applyFont="1" applyFill="1" applyAlignment="1">
      <alignment horizontal="left" vertical="top" wrapText="1"/>
    </xf>
    <xf numFmtId="165" fontId="20" fillId="3" borderId="0" xfId="0" applyNumberFormat="1" applyFont="1" applyFill="1" applyAlignment="1">
      <alignment horizontal="left" vertical="top" wrapText="1"/>
    </xf>
    <xf numFmtId="1" fontId="20" fillId="3" borderId="0" xfId="0" applyNumberFormat="1" applyFont="1" applyFill="1" applyAlignment="1">
      <alignment horizontal="center" vertical="top" wrapText="1"/>
    </xf>
    <xf numFmtId="0" fontId="21" fillId="3" borderId="0" xfId="0" applyFont="1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22" fillId="6" borderId="4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3" xfId="0" applyFill="1" applyBorder="1"/>
    <xf numFmtId="0" fontId="24" fillId="0" borderId="0" xfId="0" applyFont="1" applyAlignment="1">
      <alignment horizontal="left" vertical="center" wrapText="1" indent="1"/>
    </xf>
    <xf numFmtId="0" fontId="0" fillId="2" borderId="0" xfId="0" applyFill="1"/>
    <xf numFmtId="0" fontId="6" fillId="4" borderId="5" xfId="1" applyFill="1" applyBorder="1"/>
    <xf numFmtId="0" fontId="6" fillId="5" borderId="5" xfId="1" applyFill="1" applyBorder="1"/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70"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/mm/dd;@"/>
      <alignment horizontal="left" vertical="top" textRotation="0" wrapText="1" indent="0" justifyLastLine="0" shrinkToFit="0" readingOrder="0"/>
    </dxf>
    <dxf>
      <numFmt numFmtId="164" formatCode="yyyy/mm/dd;@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" formatCode="0"/>
      <alignment horizontal="center" vertical="top" textRotation="0" wrapText="1" indent="0" justifyLastLine="0" shrinkToFit="0" readingOrder="0"/>
    </dxf>
    <dxf>
      <numFmt numFmtId="165" formatCode="ddd\,\ dd\-mmm\-yyyy"/>
      <alignment horizontal="left" vertical="top" textRotation="0" wrapText="1" indent="0" justifyLastLine="0" shrinkToFit="0" readingOrder="0"/>
    </dxf>
    <dxf>
      <numFmt numFmtId="165" formatCode="ddd\,\ dd\-mmm\-yy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17</xdr:col>
      <xdr:colOff>344394</xdr:colOff>
      <xdr:row>40</xdr:row>
      <xdr:rowOff>1010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8BDB4-C0B6-B2F9-BEC5-704449B0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707594" cy="7240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17</xdr:col>
      <xdr:colOff>49078</xdr:colOff>
      <xdr:row>83</xdr:row>
      <xdr:rowOff>48669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58C18-37B3-E4A9-6FC5-EF6810D4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10412278" cy="74781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E14533-14A1-4BF6-A567-646B414C0932}" name="Table_Status" displayName="Table_Status" ref="D1:E8" totalsRowShown="0">
  <autoFilter ref="D1:E8" xr:uid="{F8E14533-14A1-4BF6-A567-646B414C0932}"/>
  <tableColumns count="2">
    <tableColumn id="1" xr3:uid="{90B738DB-78D8-450A-A2E1-EE774E2A9547}" name="Status"/>
    <tableColumn id="2" xr3:uid="{F669A8CF-37C6-4F71-98AC-A716CAB0330A}" name="Defini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6EB4FA-4120-4B8D-B32D-4E375FB1F190}" name="Table_Team_Members" displayName="Table_Team_Members" ref="A1:B7" totalsRowShown="0">
  <autoFilter ref="A1:B7" xr:uid="{C76EB4FA-4120-4B8D-B32D-4E375FB1F190}"/>
  <tableColumns count="2">
    <tableColumn id="1" xr3:uid="{1AD2A775-D260-42A5-93BD-DE701054CA4D}" name="Team_Member_Name"/>
    <tableColumn id="2" xr3:uid="{B1C183D5-ADBA-43F7-9CE9-76A13233E499}" name="Email_BB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BAE923-46F1-4CA5-A2DD-1F7E9839F945}" name="Table11" displayName="Table11" ref="G1:O24" totalsRowShown="0">
  <autoFilter ref="G1:O24" xr:uid="{84BAE923-46F1-4CA5-A2DD-1F7E9839F945}"/>
  <tableColumns count="9">
    <tableColumn id="1" xr3:uid="{701E7413-613D-4A19-8134-14906B715480}" name="Proposed Team Name" dataDxfId="57"/>
    <tableColumn id="2" xr3:uid="{8061771C-5AA5-43F6-BBD6-931BE60B943D}" name="Proposed by"/>
    <tableColumn id="3" xr3:uid="{D289F9B0-4897-41D4-B2D4-5A29DEEE758D}" name="Carys"/>
    <tableColumn id="4" xr3:uid="{B015474C-6BCE-4DAE-9235-E010C07C1DF7}" name="Gary"/>
    <tableColumn id="5" xr3:uid="{B64A7102-451A-494C-B8AB-2B7AC32042C6}" name="William"/>
    <tableColumn id="6" xr3:uid="{E3032E10-8CA9-4C46-A1A6-A4013F3C9226}" name="Mei Len"/>
    <tableColumn id="7" xr3:uid="{52424370-E8C7-47DF-9723-9EC1231EB24C}" name="Samuel"/>
    <tableColumn id="8" xr3:uid="{406083C9-9B78-423C-A1A2-30F2651CE2F1}" name="Toby"/>
    <tableColumn id="9" xr3:uid="{013D8C47-04D7-4DBF-9623-4C4B462EA740}" name="Vote Count" dataDxfId="56">
      <calculatedColumnFormula>COUNTA(Table11[[#This Row],[Carys]:[Toby]])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5EDC5-ACB3-4ADA-8507-44E361F31599}" name="Table3" displayName="Table3" ref="A1:J19" totalsRowShown="0" headerRowDxfId="69" dataDxfId="68">
  <autoFilter ref="A1:J19" xr:uid="{3D05EDC5-ACB3-4ADA-8507-44E361F31599}"/>
  <tableColumns count="10">
    <tableColumn id="10" xr3:uid="{8B7556E2-4DA3-4929-91F3-0B3DDC40C06B}" name="Sequence No." dataDxfId="67"/>
    <tableColumn id="1" xr3:uid="{D98C609B-E0BE-4FDD-B5C2-EC3C9A082E2F}" name="Phase" dataDxfId="66"/>
    <tableColumn id="2" xr3:uid="{E20FA66A-501E-4835-B5C3-78BC55BDE8C1}" name="Task" dataDxfId="65"/>
    <tableColumn id="3" xr3:uid="{53A4E16C-749D-4649-8CEF-B05A04F89683}" name="Assignee" dataDxfId="64"/>
    <tableColumn id="4" xr3:uid="{D9A5F161-F2B3-4604-B9B4-CEAA01441E7E}" name="Start Date" dataDxfId="63"/>
    <tableColumn id="5" xr3:uid="{97B08F6E-A853-4861-991B-602712A3B541}" name="End Date" dataDxfId="62"/>
    <tableColumn id="9" xr3:uid="{FA248AD3-C33A-45C3-B8ED-4ED870AB7537}" name="Days Count" dataDxfId="61">
      <calculatedColumnFormula>Table3[[#This Row],[End Date]]-Table3[[#This Row],[Start Date]]</calculatedColumnFormula>
    </tableColumn>
    <tableColumn id="6" xr3:uid="{9F2F7A0C-7D19-4DF0-9DA2-3DE3EB44E17F}" name="Status" dataDxfId="60"/>
    <tableColumn id="7" xr3:uid="{75D03508-25A3-4482-A564-EBECC4052AE4}" name="Deliverable" dataDxfId="59"/>
    <tableColumn id="8" xr3:uid="{019D1DB2-B63F-4461-83C6-4B023A33D72F}" name="Notes" dataDxfId="5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69338-09EE-4B30-B5F1-EBB5519FB1CF}" name="Table1" displayName="Table1" ref="A7:C13" totalsRowShown="0" headerRowDxfId="55" dataDxfId="54">
  <autoFilter ref="A7:C13" xr:uid="{79369338-09EE-4B30-B5F1-EBB5519FB1CF}"/>
  <tableColumns count="3">
    <tableColumn id="1" xr3:uid="{3B6E8B81-2F84-4D7E-918A-9D88F8502CD9}" name="Role" dataDxfId="53"/>
    <tableColumn id="2" xr3:uid="{47656457-6CF2-4BD5-B749-AA52333B1AFC}" name="Team_Member_No" dataDxfId="52"/>
    <tableColumn id="3" xr3:uid="{F993563A-5FFD-4B2F-AC69-11527B498F26}" name="Team_Member_Name" dataDxfId="5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1CB57-6C2F-4152-BA00-E49BFD7BEC62}" name="Table2" displayName="Table2" ref="A1:C4" totalsRowShown="0">
  <autoFilter ref="A1:C4" xr:uid="{3B51CB57-6C2F-4152-BA00-E49BFD7BEC62}"/>
  <tableColumns count="3">
    <tableColumn id="1" xr3:uid="{C31B9A1A-8EB0-4617-8460-F8EBDDC5F974}" name="Role" dataDxfId="50"/>
    <tableColumn id="2" xr3:uid="{86D9459E-A4B7-4180-860D-B66BF8585F61}" name="Team_Member_Pair" dataDxfId="49"/>
    <tableColumn id="3" xr3:uid="{6BFEFD5F-3B6D-4D1F-A668-5EAA974FF596}" name="Task" dataDxfId="4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ED07B8-3B29-4CE6-8D7D-81D302F66365}" name="Table_Script_Sequential" displayName="Table_Script_Sequential" ref="A5:D36" totalsRowShown="0" headerRowDxfId="47" dataDxfId="46">
  <autoFilter ref="A5:D36" xr:uid="{3DED07B8-3B29-4CE6-8D7D-81D302F66365}"/>
  <tableColumns count="4">
    <tableColumn id="1" xr3:uid="{441B0C42-ECF5-4AA8-AC5B-8CF2435CB8DC}" name="Turn Count" dataDxfId="45"/>
    <tableColumn id="2" xr3:uid="{3C989E8D-3824-4029-BA91-C5D26338B6B7}" name="Speaker_Number" dataDxfId="44"/>
    <tableColumn id="4" xr3:uid="{107DEE54-DAB3-4382-A74C-F32991E35098}" name="Team_Member_Name" dataDxfId="43"/>
    <tableColumn id="3" xr3:uid="{A4178B81-73F4-4F4A-8DCB-15617DA04B27}" name="Speech" dataDxfId="4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F55938-32F3-4AA9-8652-9A9138AA6429}" name="Table_Script_NonSequential" displayName="Table_Script_NonSequential" ref="G5:J36" totalsRowShown="0" headerRowDxfId="41" dataDxfId="40">
  <autoFilter ref="G5:J36" xr:uid="{A7F55938-32F3-4AA9-8652-9A9138AA6429}"/>
  <sortState xmlns:xlrd2="http://schemas.microsoft.com/office/spreadsheetml/2017/richdata2" ref="G6:J35">
    <sortCondition ref="G5:G35"/>
  </sortState>
  <tableColumns count="4">
    <tableColumn id="1" xr3:uid="{DD8D006E-7190-42A7-AB66-5E125A42F27F}" name="Turn Count" dataDxfId="39"/>
    <tableColumn id="2" xr3:uid="{3E3C6106-E299-49D9-A753-0FF4B0FBF337}" name="Speaker_Number" dataDxfId="38"/>
    <tableColumn id="3" xr3:uid="{98EADBE7-D226-4D87-BCFB-457243F29244}" name="Team_Member_Name" dataDxfId="37"/>
    <tableColumn id="4" xr3:uid="{A93826DA-55E1-429D-873D-71E875C621A2}" name="Speech" dataDxfId="3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5BF121-281B-45CE-9A1E-748323E7CE52}" name="Table4" displayName="Table4" ref="A1:H11" totalsRowShown="0" headerRowDxfId="35" dataDxfId="34">
  <autoFilter ref="A1:H11" xr:uid="{E35BF121-281B-45CE-9A1E-748323E7CE52}"/>
  <tableColumns count="8">
    <tableColumn id="1" xr3:uid="{748E1F5B-8FBF-4193-A340-8E5C2D9B4255}" name="Column Name" dataDxfId="33"/>
    <tableColumn id="2" xr3:uid="{2DC0527E-F527-49CE-818E-84715CB496CB}" name="Source" dataDxfId="32"/>
    <tableColumn id="3" xr3:uid="{D523D9CB-29AE-4C6E-ABC2-E8FF85E59DE3}" name="Type" dataDxfId="31"/>
    <tableColumn id="4" xr3:uid="{F1BBA85D-DC41-4464-A469-EB6C804D1061}" name="Description/Logic" dataDxfId="30"/>
    <tableColumn id="9" xr3:uid="{F0D57AEC-29BB-4869-BE86-4AFF923E0978}" name="Task Start" dataDxfId="29"/>
    <tableColumn id="10" xr3:uid="{D09FD650-59F2-4F48-A30D-057C5D51042E}" name="Task End" dataDxfId="28"/>
    <tableColumn id="5" xr3:uid="{29D8647A-34A5-4258-9B25-7A65C92D7808}" name="Role" dataDxfId="27"/>
    <tableColumn id="7" xr3:uid="{ED84A4AA-F933-424F-A06B-33DA14667523}" name="Name " dataDxfId="2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73516B-3E52-443E-B205-B6EE6F647340}" name="Table8" displayName="Table8" ref="A15:E18" totalsRowShown="0" dataDxfId="25">
  <autoFilter ref="A15:E18" xr:uid="{9D73516B-3E52-443E-B205-B6EE6F647340}"/>
  <tableColumns count="5">
    <tableColumn id="1" xr3:uid="{E60A5273-5C84-453D-8EC1-C6541773BC60}" name="timestamp" dataDxfId="24"/>
    <tableColumn id="2" xr3:uid="{BC1CE138-C891-45C3-95AB-E9D78A4F4CE2}" name="name" dataDxfId="23"/>
    <tableColumn id="3" xr3:uid="{FE0D840B-9360-406D-9DEC-A856F7DB8652}" name="raw_text_vosk" dataDxfId="22"/>
    <tableColumn id="4" xr3:uid="{7EEB9BAF-3AFE-4568-94B3-303617527D23}" name="text" dataDxfId="21"/>
    <tableColumn id="5" xr3:uid="{98F79F26-2A41-492F-B308-CF63480B055F}" name="time_taken_sec" dataDxfId="2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1AC042-33FD-41FF-BF48-38B1BA58FFCF}" name="Table9" displayName="Table9" ref="A23:I27" totalsRowShown="0">
  <autoFilter ref="A23:I27" xr:uid="{361AC042-33FD-41FF-BF48-38B1BA58FFCF}"/>
  <tableColumns count="9">
    <tableColumn id="1" xr3:uid="{EAB16663-796A-4D80-B59A-ECBB4CE8EE81}" name="timestamp"/>
    <tableColumn id="2" xr3:uid="{6E2785DC-02D0-4645-9F83-6BD2B353DC1E}" name="name"/>
    <tableColumn id="3" xr3:uid="{7EF23D8F-2EA6-47A8-8CA5-ED15CFBB9F4B}" name="text"/>
    <tableColumn id="4" xr3:uid="{7872B727-A3E9-4175-9DC0-E78C9CB790B4}" name="time_taken_sec" dataDxfId="19"/>
    <tableColumn id="5" xr3:uid="{AD123B6F-D646-442F-BAF2-3D4934D07E75}" name="question_flag" dataDxfId="18"/>
    <tableColumn id="6" xr3:uid="{19406CDC-7D9B-4EF7-9658-7B207E673287}" name="num_words" dataDxfId="17"/>
    <tableColumn id="7" xr3:uid="{F10E2254-038C-48F6-B11B-C49875D22ABE}" name="text_size_chars" dataDxfId="16"/>
    <tableColumn id="8" xr3:uid="{9529BA64-4165-4908-BC51-B83A06A198F9}" name="speech_rate_wps" dataDxfId="15"/>
    <tableColumn id="9" xr3:uid="{C353E353-9E68-4106-B418-0E65F70D1F6F}" name="speaker_turn_id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samuelweldeluel2021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wmpmck@googlemail.com" TargetMode="External"/><Relationship Id="rId1" Type="http://schemas.openxmlformats.org/officeDocument/2006/relationships/hyperlink" Target="mailto:tobylock68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gmurph05@student.bbk.ac.uk" TargetMode="External"/><Relationship Id="rId4" Type="http://schemas.openxmlformats.org/officeDocument/2006/relationships/hyperlink" Target="mailto:carysewilliams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warestack/bda/blob/main/team-project/README.m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hyperlink" Target="https://github.com/warestack/bda/blob/main/team-project/README.md" TargetMode="External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warestack/bda/blob/main/team-project/README.md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moodle.bbk.ac.uk/mod/forum/discuss.php?d=290976" TargetMode="External"/><Relationship Id="rId1" Type="http://schemas.openxmlformats.org/officeDocument/2006/relationships/hyperlink" Target="https://moodle.bbk.ac.uk/mod/forum/discuss.php?d=291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FCEB-859E-45C1-9561-8210E54A32F4}">
  <dimension ref="A1:O24"/>
  <sheetViews>
    <sheetView workbookViewId="0">
      <selection activeCell="A2" sqref="A2:A7"/>
    </sheetView>
  </sheetViews>
  <sheetFormatPr defaultRowHeight="15" x14ac:dyDescent="0.25"/>
  <cols>
    <col min="1" max="1" width="27.28515625" bestFit="1" customWidth="1"/>
    <col min="2" max="2" width="29.140625" bestFit="1" customWidth="1"/>
    <col min="3" max="3" width="3.85546875" customWidth="1"/>
    <col min="4" max="4" width="10.85546875" bestFit="1" customWidth="1"/>
    <col min="5" max="5" width="22.140625" bestFit="1" customWidth="1"/>
    <col min="6" max="6" width="4.85546875" customWidth="1"/>
    <col min="7" max="7" width="30.28515625" style="24" customWidth="1"/>
    <col min="8" max="8" width="15" customWidth="1"/>
    <col min="9" max="9" width="8.28515625" bestFit="1" customWidth="1"/>
    <col min="10" max="10" width="7.5703125" bestFit="1" customWidth="1"/>
    <col min="11" max="11" width="10.28515625" bestFit="1" customWidth="1"/>
    <col min="12" max="12" width="10.5703125" bestFit="1" customWidth="1"/>
    <col min="13" max="13" width="10" bestFit="1" customWidth="1"/>
    <col min="14" max="14" width="7.85546875" bestFit="1" customWidth="1"/>
    <col min="15" max="15" width="13.42578125" bestFit="1" customWidth="1"/>
  </cols>
  <sheetData>
    <row r="1" spans="1:15" x14ac:dyDescent="0.25">
      <c r="A1" t="s">
        <v>0</v>
      </c>
      <c r="B1" t="s">
        <v>1</v>
      </c>
      <c r="D1" t="s">
        <v>2</v>
      </c>
      <c r="E1" t="s">
        <v>3</v>
      </c>
      <c r="G1" s="24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D2" t="s">
        <v>15</v>
      </c>
      <c r="E2" t="s">
        <v>16</v>
      </c>
      <c r="G2" s="24" t="s">
        <v>17</v>
      </c>
      <c r="H2" t="s">
        <v>9</v>
      </c>
      <c r="O2">
        <f>COUNTA(Table11[[#This Row],[Carys]:[Toby]])</f>
        <v>0</v>
      </c>
    </row>
    <row r="3" spans="1:15" x14ac:dyDescent="0.25">
      <c r="A3" t="s">
        <v>18</v>
      </c>
      <c r="B3" t="s">
        <v>19</v>
      </c>
      <c r="D3" s="3" t="s">
        <v>20</v>
      </c>
      <c r="E3" t="s">
        <v>21</v>
      </c>
      <c r="G3" s="24" t="s">
        <v>22</v>
      </c>
      <c r="H3" t="s">
        <v>9</v>
      </c>
      <c r="O3">
        <f>COUNTA(Table11[[#This Row],[Carys]:[Toby]])</f>
        <v>0</v>
      </c>
    </row>
    <row r="4" spans="1:15" x14ac:dyDescent="0.25">
      <c r="A4" t="s">
        <v>23</v>
      </c>
      <c r="B4" t="s">
        <v>24</v>
      </c>
      <c r="D4" s="3" t="s">
        <v>25</v>
      </c>
      <c r="E4" t="s">
        <v>26</v>
      </c>
      <c r="G4" s="24" t="s">
        <v>27</v>
      </c>
      <c r="H4" t="s">
        <v>9</v>
      </c>
      <c r="O4">
        <f>COUNTA(Table11[[#This Row],[Carys]:[Toby]])</f>
        <v>0</v>
      </c>
    </row>
    <row r="5" spans="1:15" x14ac:dyDescent="0.25">
      <c r="A5" t="s">
        <v>28</v>
      </c>
      <c r="B5" t="s">
        <v>29</v>
      </c>
      <c r="D5" s="3" t="s">
        <v>30</v>
      </c>
      <c r="E5" t="s">
        <v>31</v>
      </c>
      <c r="G5" s="24" t="s">
        <v>32</v>
      </c>
      <c r="H5" t="s">
        <v>9</v>
      </c>
      <c r="O5">
        <f>COUNTA(Table11[[#This Row],[Carys]:[Toby]])</f>
        <v>0</v>
      </c>
    </row>
    <row r="6" spans="1:15" x14ac:dyDescent="0.25">
      <c r="A6" t="s">
        <v>33</v>
      </c>
      <c r="B6" t="s">
        <v>34</v>
      </c>
      <c r="D6" s="3" t="s">
        <v>35</v>
      </c>
      <c r="E6" t="s">
        <v>36</v>
      </c>
      <c r="G6" s="24" t="s">
        <v>37</v>
      </c>
      <c r="H6" t="s">
        <v>9</v>
      </c>
      <c r="O6">
        <f>COUNTA(Table11[[#This Row],[Carys]:[Toby]])</f>
        <v>0</v>
      </c>
    </row>
    <row r="7" spans="1:15" x14ac:dyDescent="0.25">
      <c r="A7" t="s">
        <v>38</v>
      </c>
      <c r="B7" t="s">
        <v>39</v>
      </c>
      <c r="D7" s="3" t="s">
        <v>40</v>
      </c>
      <c r="E7" t="s">
        <v>41</v>
      </c>
      <c r="G7" s="24" t="s">
        <v>42</v>
      </c>
      <c r="H7" t="s">
        <v>9</v>
      </c>
      <c r="O7">
        <f>COUNTA(Table11[[#This Row],[Carys]:[Toby]])</f>
        <v>0</v>
      </c>
    </row>
    <row r="8" spans="1:15" x14ac:dyDescent="0.25">
      <c r="D8" s="3" t="s">
        <v>43</v>
      </c>
      <c r="E8" t="s">
        <v>44</v>
      </c>
      <c r="G8" s="24" t="s">
        <v>45</v>
      </c>
      <c r="H8" t="s">
        <v>9</v>
      </c>
      <c r="O8">
        <f>COUNTA(Table11[[#This Row],[Carys]:[Toby]])</f>
        <v>0</v>
      </c>
    </row>
    <row r="9" spans="1:15" x14ac:dyDescent="0.25">
      <c r="A9" t="s">
        <v>46</v>
      </c>
      <c r="G9" s="24" t="s">
        <v>47</v>
      </c>
      <c r="H9" t="s">
        <v>9</v>
      </c>
      <c r="J9">
        <v>1</v>
      </c>
      <c r="O9">
        <f>COUNTA(Table11[[#This Row],[Carys]:[Toby]])</f>
        <v>1</v>
      </c>
    </row>
    <row r="10" spans="1:15" x14ac:dyDescent="0.25">
      <c r="A10" s="42" t="s">
        <v>0</v>
      </c>
      <c r="B10" t="s">
        <v>48</v>
      </c>
      <c r="G10" s="41" t="s">
        <v>49</v>
      </c>
      <c r="H10" s="47" t="s">
        <v>9</v>
      </c>
      <c r="I10" s="47">
        <v>1</v>
      </c>
      <c r="J10" s="47"/>
      <c r="K10" s="47">
        <v>1</v>
      </c>
      <c r="L10" s="47">
        <v>1</v>
      </c>
      <c r="M10" s="47">
        <v>1</v>
      </c>
      <c r="N10" s="47">
        <v>1</v>
      </c>
      <c r="O10" s="47">
        <f>COUNTA(Table11[[#This Row],[Carys]:[Toby]])</f>
        <v>5</v>
      </c>
    </row>
    <row r="11" spans="1:15" x14ac:dyDescent="0.25">
      <c r="A11" s="43" t="s">
        <v>13</v>
      </c>
      <c r="B11" s="16" t="s">
        <v>50</v>
      </c>
      <c r="G11" s="24" t="s">
        <v>51</v>
      </c>
      <c r="H11" t="s">
        <v>9</v>
      </c>
      <c r="N11">
        <v>1</v>
      </c>
      <c r="O11">
        <f>COUNTA(Table11[[#This Row],[Carys]:[Toby]])</f>
        <v>1</v>
      </c>
    </row>
    <row r="12" spans="1:15" x14ac:dyDescent="0.25">
      <c r="A12" s="44" t="s">
        <v>18</v>
      </c>
      <c r="B12" s="49" t="s">
        <v>19</v>
      </c>
      <c r="G12" s="24" t="s">
        <v>52</v>
      </c>
      <c r="H12" t="s">
        <v>9</v>
      </c>
      <c r="O12">
        <f>COUNTA(Table11[[#This Row],[Carys]:[Toby]])</f>
        <v>0</v>
      </c>
    </row>
    <row r="13" spans="1:15" ht="30" x14ac:dyDescent="0.25">
      <c r="A13" s="43" t="s">
        <v>23</v>
      </c>
      <c r="B13" s="16" t="s">
        <v>53</v>
      </c>
      <c r="G13" s="24" t="s">
        <v>54</v>
      </c>
      <c r="H13" t="s">
        <v>7</v>
      </c>
      <c r="O13">
        <f>COUNTA(Table11[[#This Row],[Carys]:[Toby]])</f>
        <v>0</v>
      </c>
    </row>
    <row r="14" spans="1:15" ht="45" x14ac:dyDescent="0.25">
      <c r="A14" s="44" t="s">
        <v>28</v>
      </c>
      <c r="G14" s="24" t="s">
        <v>55</v>
      </c>
      <c r="H14" t="s">
        <v>7</v>
      </c>
      <c r="O14">
        <f>COUNTA(Table11[[#This Row],[Carys]:[Toby]])</f>
        <v>0</v>
      </c>
    </row>
    <row r="15" spans="1:15" ht="30" x14ac:dyDescent="0.25">
      <c r="A15" s="43" t="s">
        <v>33</v>
      </c>
      <c r="B15" s="48" t="s">
        <v>56</v>
      </c>
      <c r="G15" s="24" t="s">
        <v>57</v>
      </c>
      <c r="H15" t="s">
        <v>7</v>
      </c>
      <c r="O15">
        <f>COUNTA(Table11[[#This Row],[Carys]:[Toby]])</f>
        <v>0</v>
      </c>
    </row>
    <row r="16" spans="1:15" ht="45" x14ac:dyDescent="0.25">
      <c r="A16" s="45" t="s">
        <v>38</v>
      </c>
      <c r="B16" s="16" t="s">
        <v>58</v>
      </c>
      <c r="G16" s="24" t="s">
        <v>59</v>
      </c>
      <c r="H16" t="s">
        <v>10</v>
      </c>
      <c r="O16">
        <f>COUNTA(Table11[[#This Row],[Carys]:[Toby]])</f>
        <v>0</v>
      </c>
    </row>
    <row r="17" spans="7:15" x14ac:dyDescent="0.25">
      <c r="G17" s="24" t="s">
        <v>60</v>
      </c>
      <c r="O17">
        <f>COUNTA(Table11[[#This Row],[Carys]:[Toby]])</f>
        <v>0</v>
      </c>
    </row>
    <row r="18" spans="7:15" x14ac:dyDescent="0.25">
      <c r="G18" s="24" t="s">
        <v>60</v>
      </c>
      <c r="O18">
        <f>COUNTA(Table11[[#This Row],[Carys]:[Toby]])</f>
        <v>0</v>
      </c>
    </row>
    <row r="19" spans="7:15" x14ac:dyDescent="0.25">
      <c r="G19" s="24" t="s">
        <v>60</v>
      </c>
      <c r="O19">
        <f>COUNTA(Table11[[#This Row],[Carys]:[Toby]])</f>
        <v>0</v>
      </c>
    </row>
    <row r="20" spans="7:15" x14ac:dyDescent="0.25">
      <c r="G20" s="24" t="s">
        <v>60</v>
      </c>
      <c r="O20">
        <f>COUNTA(Table11[[#This Row],[Carys]:[Toby]])</f>
        <v>0</v>
      </c>
    </row>
    <row r="21" spans="7:15" x14ac:dyDescent="0.25">
      <c r="G21" s="24" t="s">
        <v>60</v>
      </c>
      <c r="O21">
        <f>COUNTA(Table11[[#This Row],[Carys]:[Toby]])</f>
        <v>0</v>
      </c>
    </row>
    <row r="22" spans="7:15" x14ac:dyDescent="0.25">
      <c r="G22" s="24" t="s">
        <v>60</v>
      </c>
      <c r="O22">
        <f>COUNTA(Table11[[#This Row],[Carys]:[Toby]])</f>
        <v>0</v>
      </c>
    </row>
    <row r="23" spans="7:15" x14ac:dyDescent="0.25">
      <c r="G23" s="24" t="s">
        <v>60</v>
      </c>
      <c r="O23">
        <f>COUNTA(Table11[[#This Row],[Carys]:[Toby]])</f>
        <v>0</v>
      </c>
    </row>
    <row r="24" spans="7:15" x14ac:dyDescent="0.25">
      <c r="G24" s="24" t="s">
        <v>60</v>
      </c>
      <c r="O24">
        <f>COUNTA(Table11[[#This Row],[Carys]:[Toby]])</f>
        <v>0</v>
      </c>
    </row>
  </sheetData>
  <conditionalFormatting sqref="D2:D8">
    <cfRule type="containsText" dxfId="13" priority="7" operator="containsText" text="Backlog">
      <formula>NOT(ISERROR(SEARCH("Backlog",D2)))</formula>
    </cfRule>
  </conditionalFormatting>
  <conditionalFormatting sqref="D3:D8">
    <cfRule type="containsText" dxfId="12" priority="1" operator="containsText" text="Overdue">
      <formula>NOT(ISERROR(SEARCH("Overdue",D3)))</formula>
    </cfRule>
    <cfRule type="containsText" dxfId="11" priority="2" operator="containsText" text="Blocked">
      <formula>NOT(ISERROR(SEARCH("Blocked",D3)))</formula>
    </cfRule>
    <cfRule type="containsText" dxfId="10" priority="3" operator="containsText" text="Cancelled">
      <formula>NOT(ISERROR(SEARCH("Cancelled",D3)))</formula>
    </cfRule>
    <cfRule type="containsText" dxfId="9" priority="4" operator="containsText" text="Completed">
      <formula>NOT(ISERROR(SEARCH("Completed",D3)))</formula>
    </cfRule>
    <cfRule type="containsText" dxfId="8" priority="5" operator="containsText" text="In Progress">
      <formula>NOT(ISERROR(SEARCH("In Progress",D3)))</formula>
    </cfRule>
    <cfRule type="containsText" dxfId="7" priority="6" operator="containsText" text="Planned">
      <formula>NOT(ISERROR(SEARCH("Planned",D3)))</formula>
    </cfRule>
  </conditionalFormatting>
  <hyperlinks>
    <hyperlink ref="B16" r:id="rId1" xr:uid="{8DD7FC44-2255-4D8C-8294-9CDF202DB9E6}"/>
    <hyperlink ref="B13" r:id="rId2" xr:uid="{FB58A269-3F3F-4AD5-9CB1-C9993AE5AC6F}"/>
    <hyperlink ref="B15" r:id="rId3" xr:uid="{6922953B-A1A0-4D54-9DFD-448487D080BD}"/>
    <hyperlink ref="B11" r:id="rId4" xr:uid="{A3DF3EC5-53F1-4035-86E6-30E29C8F4818}"/>
    <hyperlink ref="B12" r:id="rId5" xr:uid="{681939F7-E462-437F-8F47-662C8DD951BD}"/>
  </hyperlinks>
  <pageMargins left="0.7" right="0.7" top="0.75" bottom="0.75" header="0.3" footer="0.3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15" zoomScaleNormal="115"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H23" sqref="H23"/>
    </sheetView>
  </sheetViews>
  <sheetFormatPr defaultRowHeight="15" x14ac:dyDescent="0.25"/>
  <cols>
    <col min="1" max="1" width="12.140625" customWidth="1"/>
    <col min="2" max="2" width="15.7109375" bestFit="1" customWidth="1"/>
    <col min="3" max="3" width="25" customWidth="1"/>
    <col min="4" max="4" width="30.5703125" style="24" customWidth="1"/>
    <col min="5" max="5" width="20.5703125" customWidth="1"/>
    <col min="6" max="6" width="21.28515625" bestFit="1" customWidth="1"/>
    <col min="7" max="7" width="8.85546875" customWidth="1"/>
    <col min="8" max="8" width="14" bestFit="1" customWidth="1"/>
    <col min="9" max="9" width="16.28515625" customWidth="1"/>
    <col min="10" max="10" width="55.28515625" customWidth="1"/>
    <col min="11" max="11" width="5.85546875" customWidth="1"/>
  </cols>
  <sheetData>
    <row r="1" spans="1:10" ht="30" x14ac:dyDescent="0.2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2</v>
      </c>
      <c r="I1" s="3" t="s">
        <v>68</v>
      </c>
      <c r="J1" s="3" t="s">
        <v>69</v>
      </c>
    </row>
    <row r="2" spans="1:10" ht="45" x14ac:dyDescent="0.25">
      <c r="A2" s="32">
        <v>1</v>
      </c>
      <c r="B2" s="23" t="s">
        <v>70</v>
      </c>
      <c r="C2" s="23" t="s">
        <v>71</v>
      </c>
      <c r="D2" s="23" t="s">
        <v>72</v>
      </c>
      <c r="E2" s="25">
        <v>46146</v>
      </c>
      <c r="F2" s="25">
        <v>46147</v>
      </c>
      <c r="G2" s="33">
        <f>Table3[[#This Row],[End Date]]-Table3[[#This Row],[Start Date]]</f>
        <v>1</v>
      </c>
      <c r="H2" s="23" t="s">
        <v>30</v>
      </c>
      <c r="I2" s="23" t="s">
        <v>73</v>
      </c>
      <c r="J2" s="22" t="s">
        <v>74</v>
      </c>
    </row>
    <row r="3" spans="1:10" ht="30" x14ac:dyDescent="0.25">
      <c r="A3" s="11">
        <v>2</v>
      </c>
      <c r="B3" s="3" t="s">
        <v>70</v>
      </c>
      <c r="C3" s="29" t="s">
        <v>75</v>
      </c>
      <c r="D3" s="5" t="s">
        <v>28</v>
      </c>
      <c r="E3" s="26">
        <v>46146</v>
      </c>
      <c r="F3" s="26">
        <v>46147</v>
      </c>
      <c r="G3" s="7">
        <f>Table3[[#This Row],[End Date]]-Table3[[#This Row],[Start Date]]</f>
        <v>1</v>
      </c>
      <c r="H3" s="3" t="s">
        <v>30</v>
      </c>
      <c r="I3" s="3" t="s">
        <v>76</v>
      </c>
      <c r="J3" s="3" t="s">
        <v>77</v>
      </c>
    </row>
    <row r="4" spans="1:10" ht="45" x14ac:dyDescent="0.25">
      <c r="A4" s="11">
        <v>3</v>
      </c>
      <c r="B4" s="3" t="s">
        <v>70</v>
      </c>
      <c r="C4" s="3" t="s">
        <v>78</v>
      </c>
      <c r="D4" s="3" t="s">
        <v>72</v>
      </c>
      <c r="E4" s="26">
        <v>46146</v>
      </c>
      <c r="F4" s="26">
        <v>46152</v>
      </c>
      <c r="G4" s="7">
        <f>Table3[[#This Row],[End Date]]-Table3[[#This Row],[Start Date]]</f>
        <v>6</v>
      </c>
      <c r="H4" s="3" t="s">
        <v>30</v>
      </c>
      <c r="I4" s="3" t="s">
        <v>79</v>
      </c>
      <c r="J4" s="3" t="s">
        <v>80</v>
      </c>
    </row>
    <row r="5" spans="1:10" ht="60" x14ac:dyDescent="0.25">
      <c r="A5" s="11">
        <v>4</v>
      </c>
      <c r="B5" s="3" t="s">
        <v>70</v>
      </c>
      <c r="C5" s="3" t="s">
        <v>81</v>
      </c>
      <c r="D5" s="3" t="s">
        <v>72</v>
      </c>
      <c r="E5" s="26">
        <v>46146</v>
      </c>
      <c r="F5" s="26">
        <v>46152</v>
      </c>
      <c r="G5" s="7">
        <f>Table3[[#This Row],[End Date]]-Table3[[#This Row],[Start Date]]</f>
        <v>6</v>
      </c>
      <c r="H5" s="3" t="s">
        <v>30</v>
      </c>
      <c r="I5" s="3" t="s">
        <v>82</v>
      </c>
      <c r="J5" s="3" t="s">
        <v>83</v>
      </c>
    </row>
    <row r="6" spans="1:10" ht="75" x14ac:dyDescent="0.25">
      <c r="A6" s="31">
        <v>5</v>
      </c>
      <c r="B6" s="23" t="s">
        <v>84</v>
      </c>
      <c r="C6" s="23" t="s">
        <v>85</v>
      </c>
      <c r="D6" s="23" t="s">
        <v>72</v>
      </c>
      <c r="E6" s="25">
        <v>46153</v>
      </c>
      <c r="F6" s="25">
        <v>46153</v>
      </c>
      <c r="G6" s="33">
        <f>Table3[[#This Row],[End Date]]-Table3[[#This Row],[Start Date]]</f>
        <v>0</v>
      </c>
      <c r="H6" s="23" t="s">
        <v>35</v>
      </c>
      <c r="I6" s="23" t="s">
        <v>73</v>
      </c>
      <c r="J6" s="22" t="s">
        <v>86</v>
      </c>
    </row>
    <row r="7" spans="1:10" ht="30" x14ac:dyDescent="0.25">
      <c r="A7" s="11">
        <v>6</v>
      </c>
      <c r="B7" s="3" t="s">
        <v>87</v>
      </c>
      <c r="C7" s="3" t="s">
        <v>88</v>
      </c>
      <c r="D7" s="3" t="s">
        <v>89</v>
      </c>
      <c r="E7" s="26">
        <v>46153</v>
      </c>
      <c r="F7" s="26">
        <v>46159</v>
      </c>
      <c r="G7" s="7">
        <f>Table3[[#This Row],[End Date]]-Table3[[#This Row],[Start Date]]</f>
        <v>6</v>
      </c>
      <c r="H7" s="3" t="s">
        <v>30</v>
      </c>
      <c r="I7" s="3" t="s">
        <v>90</v>
      </c>
      <c r="J7" s="3" t="s">
        <v>91</v>
      </c>
    </row>
    <row r="8" spans="1:10" ht="30" x14ac:dyDescent="0.25">
      <c r="A8" s="11">
        <v>7</v>
      </c>
      <c r="B8" s="3" t="s">
        <v>87</v>
      </c>
      <c r="C8" s="3" t="s">
        <v>92</v>
      </c>
      <c r="D8" s="3" t="s">
        <v>89</v>
      </c>
      <c r="E8" s="26">
        <v>46153</v>
      </c>
      <c r="F8" s="26">
        <v>46159</v>
      </c>
      <c r="G8" s="7">
        <f>Table3[[#This Row],[End Date]]-Table3[[#This Row],[Start Date]]</f>
        <v>6</v>
      </c>
      <c r="H8" s="3" t="s">
        <v>30</v>
      </c>
      <c r="I8" s="3" t="s">
        <v>93</v>
      </c>
      <c r="J8" s="3" t="s">
        <v>94</v>
      </c>
    </row>
    <row r="9" spans="1:10" ht="105" x14ac:dyDescent="0.25">
      <c r="A9" s="11">
        <v>8</v>
      </c>
      <c r="B9" s="3" t="s">
        <v>87</v>
      </c>
      <c r="C9" s="3" t="s">
        <v>95</v>
      </c>
      <c r="D9" s="3" t="s">
        <v>96</v>
      </c>
      <c r="E9" s="26">
        <v>46153</v>
      </c>
      <c r="F9" s="26">
        <v>46159</v>
      </c>
      <c r="G9" s="7">
        <f>Table3[[#This Row],[End Date]]-Table3[[#This Row],[Start Date]]</f>
        <v>6</v>
      </c>
      <c r="H9" s="3" t="s">
        <v>30</v>
      </c>
      <c r="I9" s="3" t="s">
        <v>97</v>
      </c>
      <c r="J9" s="3" t="s">
        <v>98</v>
      </c>
    </row>
    <row r="10" spans="1:10" ht="60" x14ac:dyDescent="0.25">
      <c r="A10" s="31">
        <v>9</v>
      </c>
      <c r="B10" s="23" t="s">
        <v>84</v>
      </c>
      <c r="C10" s="23" t="s">
        <v>99</v>
      </c>
      <c r="D10" s="23" t="s">
        <v>72</v>
      </c>
      <c r="E10" s="28">
        <v>46159</v>
      </c>
      <c r="F10" s="28">
        <v>46160</v>
      </c>
      <c r="G10" s="33">
        <f>Table3[[#This Row],[End Date]]-Table3[[#This Row],[Start Date]]</f>
        <v>1</v>
      </c>
      <c r="H10" s="23" t="s">
        <v>35</v>
      </c>
      <c r="I10" s="23" t="s">
        <v>73</v>
      </c>
      <c r="J10" s="22" t="s">
        <v>100</v>
      </c>
    </row>
    <row r="11" spans="1:10" ht="30" x14ac:dyDescent="0.25">
      <c r="A11" s="11">
        <v>10</v>
      </c>
      <c r="B11" s="3" t="s">
        <v>101</v>
      </c>
      <c r="C11" s="3" t="s">
        <v>102</v>
      </c>
      <c r="D11" s="3" t="s">
        <v>96</v>
      </c>
      <c r="E11" s="26">
        <v>46160</v>
      </c>
      <c r="F11" s="26">
        <v>46166</v>
      </c>
      <c r="G11" s="7">
        <f>Table3[[#This Row],[End Date]]-Table3[[#This Row],[Start Date]]</f>
        <v>6</v>
      </c>
      <c r="H11" s="3" t="s">
        <v>30</v>
      </c>
      <c r="I11" s="3" t="s">
        <v>103</v>
      </c>
      <c r="J11" s="3" t="s">
        <v>104</v>
      </c>
    </row>
    <row r="12" spans="1:10" ht="30" x14ac:dyDescent="0.25">
      <c r="A12" s="11">
        <v>11</v>
      </c>
      <c r="B12" s="3" t="s">
        <v>101</v>
      </c>
      <c r="C12" s="3" t="s">
        <v>105</v>
      </c>
      <c r="D12" s="3" t="s">
        <v>96</v>
      </c>
      <c r="E12" s="26">
        <v>46160</v>
      </c>
      <c r="F12" s="26">
        <v>46166</v>
      </c>
      <c r="G12" s="7">
        <f>Table3[[#This Row],[End Date]]-Table3[[#This Row],[Start Date]]</f>
        <v>6</v>
      </c>
      <c r="H12" s="3" t="s">
        <v>30</v>
      </c>
      <c r="I12" s="3" t="s">
        <v>106</v>
      </c>
      <c r="J12" s="3" t="s">
        <v>107</v>
      </c>
    </row>
    <row r="13" spans="1:10" ht="30" x14ac:dyDescent="0.25">
      <c r="A13" s="11">
        <v>12</v>
      </c>
      <c r="B13" s="3" t="s">
        <v>108</v>
      </c>
      <c r="C13" s="3" t="s">
        <v>109</v>
      </c>
      <c r="D13" s="3" t="s">
        <v>110</v>
      </c>
      <c r="E13" s="26">
        <v>46160</v>
      </c>
      <c r="F13" s="26">
        <v>46166</v>
      </c>
      <c r="G13" s="7">
        <f>Table3[[#This Row],[End Date]]-Table3[[#This Row],[Start Date]]</f>
        <v>6</v>
      </c>
      <c r="H13" s="3" t="s">
        <v>30</v>
      </c>
      <c r="I13" s="3" t="s">
        <v>111</v>
      </c>
      <c r="J13" s="3" t="s">
        <v>112</v>
      </c>
    </row>
    <row r="14" spans="1:10" ht="75" x14ac:dyDescent="0.25">
      <c r="A14" s="11">
        <v>13</v>
      </c>
      <c r="B14" s="3" t="s">
        <v>108</v>
      </c>
      <c r="C14" s="3" t="s">
        <v>113</v>
      </c>
      <c r="D14" s="3" t="s">
        <v>114</v>
      </c>
      <c r="E14" s="26">
        <v>46167</v>
      </c>
      <c r="F14" s="26">
        <v>46167</v>
      </c>
      <c r="G14" s="7">
        <f>Table3[[#This Row],[End Date]]-Table3[[#This Row],[Start Date]]</f>
        <v>0</v>
      </c>
      <c r="H14" s="3" t="s">
        <v>30</v>
      </c>
      <c r="I14" s="3" t="s">
        <v>115</v>
      </c>
      <c r="J14" s="50" t="s">
        <v>116</v>
      </c>
    </row>
    <row r="15" spans="1:10" ht="30" x14ac:dyDescent="0.25">
      <c r="A15" s="11">
        <v>14</v>
      </c>
      <c r="B15" s="3" t="s">
        <v>108</v>
      </c>
      <c r="C15" s="3" t="s">
        <v>117</v>
      </c>
      <c r="D15" s="3" t="s">
        <v>110</v>
      </c>
      <c r="E15" s="26">
        <v>46168</v>
      </c>
      <c r="F15" s="26">
        <v>46173</v>
      </c>
      <c r="G15" s="7">
        <f>Table3[[#This Row],[End Date]]-Table3[[#This Row],[Start Date]]</f>
        <v>5</v>
      </c>
      <c r="H15" s="3" t="s">
        <v>30</v>
      </c>
      <c r="I15" s="3" t="s">
        <v>115</v>
      </c>
      <c r="J15" s="29" t="s">
        <v>118</v>
      </c>
    </row>
    <row r="16" spans="1:10" ht="75" x14ac:dyDescent="0.25">
      <c r="A16" s="30">
        <v>15</v>
      </c>
      <c r="B16" s="23" t="s">
        <v>84</v>
      </c>
      <c r="C16" s="23" t="s">
        <v>119</v>
      </c>
      <c r="D16" s="23" t="s">
        <v>72</v>
      </c>
      <c r="E16" s="28">
        <v>46174</v>
      </c>
      <c r="F16" s="28">
        <v>46175</v>
      </c>
      <c r="G16" s="33">
        <f>Table3[[#This Row],[End Date]]-Table3[[#This Row],[Start Date]]</f>
        <v>1</v>
      </c>
      <c r="H16" s="23" t="s">
        <v>35</v>
      </c>
      <c r="I16" s="23" t="s">
        <v>73</v>
      </c>
      <c r="J16" s="22" t="s">
        <v>120</v>
      </c>
    </row>
    <row r="17" spans="1:10" ht="45" x14ac:dyDescent="0.25">
      <c r="A17" s="11">
        <v>16</v>
      </c>
      <c r="B17" s="3" t="s">
        <v>108</v>
      </c>
      <c r="C17" s="3" t="s">
        <v>121</v>
      </c>
      <c r="D17" s="3" t="s">
        <v>122</v>
      </c>
      <c r="E17" s="26">
        <v>46174</v>
      </c>
      <c r="F17" s="26">
        <v>46175</v>
      </c>
      <c r="G17" s="7">
        <f>Table3[[#This Row],[End Date]]-Table3[[#This Row],[Start Date]]</f>
        <v>1</v>
      </c>
      <c r="H17" s="3" t="s">
        <v>30</v>
      </c>
      <c r="I17" s="3" t="s">
        <v>123</v>
      </c>
      <c r="J17" s="3" t="s">
        <v>124</v>
      </c>
    </row>
    <row r="18" spans="1:10" ht="30" x14ac:dyDescent="0.25">
      <c r="A18" s="36">
        <v>17</v>
      </c>
      <c r="B18" s="37" t="s">
        <v>108</v>
      </c>
      <c r="C18" s="37" t="s">
        <v>125</v>
      </c>
      <c r="D18" s="37"/>
      <c r="E18" s="38">
        <v>46175</v>
      </c>
      <c r="F18" s="38">
        <v>46189</v>
      </c>
      <c r="G18" s="39">
        <f>Table3[[#This Row],[End Date]]-Table3[[#This Row],[Start Date]]</f>
        <v>14</v>
      </c>
      <c r="H18" s="40" t="s">
        <v>35</v>
      </c>
      <c r="I18" s="40"/>
      <c r="J18" s="40"/>
    </row>
    <row r="19" spans="1:10" ht="31.5" x14ac:dyDescent="0.25">
      <c r="A19" s="11">
        <v>18</v>
      </c>
      <c r="B19" s="9" t="s">
        <v>126</v>
      </c>
      <c r="C19" s="9"/>
      <c r="D19" s="9"/>
      <c r="E19" s="27">
        <v>46190</v>
      </c>
      <c r="F19" s="27">
        <v>46190</v>
      </c>
      <c r="G19" s="10">
        <f>Table3[[#This Row],[End Date]]-Table3[[#This Row],[Start Date]]</f>
        <v>0</v>
      </c>
      <c r="H19" s="9" t="s">
        <v>20</v>
      </c>
      <c r="I19" s="9"/>
      <c r="J19" s="9" t="s">
        <v>127</v>
      </c>
    </row>
    <row r="22" spans="1:10" ht="18.75" x14ac:dyDescent="0.3">
      <c r="E22" s="34" t="s">
        <v>128</v>
      </c>
      <c r="F22" s="35">
        <f>F17-E2</f>
        <v>29</v>
      </c>
    </row>
  </sheetData>
  <conditionalFormatting sqref="H2:H19">
    <cfRule type="containsText" dxfId="6" priority="1" operator="containsText" text="Overdue">
      <formula>NOT(ISERROR(SEARCH("Overdue",H2)))</formula>
    </cfRule>
    <cfRule type="containsText" dxfId="5" priority="2" operator="containsText" text="Blocked">
      <formula>NOT(ISERROR(SEARCH("Blocked",H2)))</formula>
    </cfRule>
    <cfRule type="containsText" dxfId="4" priority="3" operator="containsText" text="Cancelled">
      <formula>NOT(ISERROR(SEARCH("Cancelled",H2)))</formula>
    </cfRule>
    <cfRule type="containsText" dxfId="3" priority="4" operator="containsText" text="Completed">
      <formula>NOT(ISERROR(SEARCH("Completed",H2)))</formula>
    </cfRule>
    <cfRule type="containsText" dxfId="2" priority="5" operator="containsText" text="In Progress">
      <formula>NOT(ISERROR(SEARCH("In Progress",H2)))</formula>
    </cfRule>
    <cfRule type="containsText" dxfId="1" priority="6" operator="containsText" text="Planned">
      <formula>NOT(ISERROR(SEARCH("Planned",H2)))</formula>
    </cfRule>
    <cfRule type="containsText" dxfId="0" priority="7" operator="containsText" text="Backlog">
      <formula>NOT(ISERROR(SEARCH("Backlog",H2)))</formula>
    </cfRule>
  </conditionalFormatting>
  <dataValidations count="2">
    <dataValidation type="list" errorStyle="information" allowBlank="1" showInputMessage="1" showErrorMessage="1" errorTitle="Select status from dropdown" error="Select status from dropdown" promptTitle="Select status from dropdown" prompt="Select status from dropdown" sqref="H2:H19" xr:uid="{52966CED-546A-4B79-AF6E-17207362F9F8}">
      <formula1>Status</formula1>
    </dataValidation>
    <dataValidation type="list" errorStyle="information" allowBlank="1" showInputMessage="1" showErrorMessage="1" errorTitle="Select Role or type in" error="Select Role from Dropdown or type in value" promptTitle="Select Role or type in" prompt="Select Role from Dropdown or type in value" sqref="D2:D19" xr:uid="{47D11FC7-B8B5-4E7E-BD76-875C07196608}">
      <formula1>Role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20" sqref="B20:B25"/>
    </sheetView>
  </sheetViews>
  <sheetFormatPr defaultRowHeight="15" x14ac:dyDescent="0.25"/>
  <cols>
    <col min="1" max="1" width="23" style="3" customWidth="1"/>
    <col min="2" max="2" width="28.85546875" style="3" bestFit="1" customWidth="1"/>
    <col min="3" max="3" width="32.5703125" style="3" customWidth="1"/>
  </cols>
  <sheetData>
    <row r="1" spans="1:3" x14ac:dyDescent="0.25">
      <c r="A1" t="s">
        <v>129</v>
      </c>
      <c r="B1" t="s">
        <v>130</v>
      </c>
      <c r="C1" s="3" t="s">
        <v>63</v>
      </c>
    </row>
    <row r="2" spans="1:3" ht="30" x14ac:dyDescent="0.25">
      <c r="A2" s="2" t="s">
        <v>89</v>
      </c>
      <c r="B2" s="2" t="s">
        <v>131</v>
      </c>
      <c r="C2" s="3" t="s">
        <v>132</v>
      </c>
    </row>
    <row r="3" spans="1:3" ht="30" x14ac:dyDescent="0.25">
      <c r="A3" s="2" t="s">
        <v>96</v>
      </c>
      <c r="B3" s="2" t="s">
        <v>133</v>
      </c>
      <c r="C3" s="3" t="s">
        <v>134</v>
      </c>
    </row>
    <row r="4" spans="1:3" ht="30" x14ac:dyDescent="0.25">
      <c r="A4" s="2" t="s">
        <v>110</v>
      </c>
      <c r="B4" s="2" t="s">
        <v>135</v>
      </c>
      <c r="C4" s="3" t="s">
        <v>136</v>
      </c>
    </row>
    <row r="5" spans="1:3" x14ac:dyDescent="0.25">
      <c r="A5" s="2"/>
      <c r="B5" s="2"/>
    </row>
    <row r="7" spans="1:3" x14ac:dyDescent="0.25">
      <c r="A7" s="3" t="s">
        <v>129</v>
      </c>
      <c r="B7" s="3" t="s">
        <v>137</v>
      </c>
      <c r="C7" s="3" t="s">
        <v>0</v>
      </c>
    </row>
    <row r="8" spans="1:3" x14ac:dyDescent="0.25">
      <c r="A8" s="3" t="s">
        <v>89</v>
      </c>
      <c r="B8" s="3" t="s">
        <v>138</v>
      </c>
      <c r="C8" s="3" t="s">
        <v>38</v>
      </c>
    </row>
    <row r="9" spans="1:3" x14ac:dyDescent="0.25">
      <c r="A9" s="3" t="s">
        <v>89</v>
      </c>
      <c r="B9" s="3" t="s">
        <v>139</v>
      </c>
      <c r="C9" s="3" t="s">
        <v>23</v>
      </c>
    </row>
    <row r="10" spans="1:3" x14ac:dyDescent="0.25">
      <c r="A10" s="3" t="s">
        <v>96</v>
      </c>
      <c r="B10" s="3" t="s">
        <v>140</v>
      </c>
      <c r="C10" s="3" t="s">
        <v>13</v>
      </c>
    </row>
    <row r="11" spans="1:3" x14ac:dyDescent="0.25">
      <c r="A11" s="3" t="s">
        <v>96</v>
      </c>
      <c r="B11" s="3" t="s">
        <v>141</v>
      </c>
      <c r="C11" s="3" t="s">
        <v>28</v>
      </c>
    </row>
    <row r="12" spans="1:3" x14ac:dyDescent="0.25">
      <c r="A12" s="3" t="s">
        <v>110</v>
      </c>
      <c r="B12" s="3" t="s">
        <v>142</v>
      </c>
      <c r="C12" s="3" t="s">
        <v>18</v>
      </c>
    </row>
    <row r="13" spans="1:3" x14ac:dyDescent="0.25">
      <c r="A13" s="3" t="s">
        <v>110</v>
      </c>
      <c r="B13" s="3" t="s">
        <v>143</v>
      </c>
      <c r="C13" s="3" t="s">
        <v>33</v>
      </c>
    </row>
  </sheetData>
  <phoneticPr fontId="4" type="noConversion"/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B98E-C5B6-4548-8DAD-F2D424BDE9B8}">
  <dimension ref="A1:J36"/>
  <sheetViews>
    <sheetView workbookViewId="0">
      <selection activeCell="J36" sqref="J36"/>
    </sheetView>
  </sheetViews>
  <sheetFormatPr defaultRowHeight="15" x14ac:dyDescent="0.25"/>
  <cols>
    <col min="1" max="1" width="12.85546875" customWidth="1"/>
    <col min="2" max="2" width="18.5703125" customWidth="1"/>
    <col min="3" max="3" width="23.42578125" bestFit="1" customWidth="1"/>
    <col min="4" max="4" width="55.85546875" customWidth="1"/>
    <col min="7" max="7" width="12.85546875" style="3" customWidth="1"/>
    <col min="8" max="8" width="18.5703125" style="3" customWidth="1"/>
    <col min="9" max="9" width="23" style="3" customWidth="1"/>
    <col min="10" max="10" width="50.7109375" style="3" customWidth="1"/>
  </cols>
  <sheetData>
    <row r="1" spans="1:10" ht="18.75" x14ac:dyDescent="0.25">
      <c r="A1" s="51" t="s">
        <v>144</v>
      </c>
      <c r="B1" s="51"/>
      <c r="C1" s="51"/>
    </row>
    <row r="2" spans="1:10" ht="18.75" x14ac:dyDescent="0.25">
      <c r="A2" s="6"/>
      <c r="B2" s="6"/>
      <c r="C2" s="6"/>
    </row>
    <row r="3" spans="1:10" ht="18.75" x14ac:dyDescent="0.25">
      <c r="A3" s="6" t="s">
        <v>145</v>
      </c>
      <c r="B3" s="6"/>
      <c r="C3" s="6"/>
      <c r="G3" s="6" t="s">
        <v>146</v>
      </c>
    </row>
    <row r="5" spans="1:10" x14ac:dyDescent="0.25">
      <c r="A5" s="1" t="s">
        <v>147</v>
      </c>
      <c r="B5" s="1" t="s">
        <v>148</v>
      </c>
      <c r="C5" s="1" t="s">
        <v>0</v>
      </c>
      <c r="D5" s="1" t="s">
        <v>149</v>
      </c>
      <c r="G5" s="3" t="s">
        <v>147</v>
      </c>
      <c r="H5" s="3" t="s">
        <v>148</v>
      </c>
      <c r="I5" s="3" t="s">
        <v>0</v>
      </c>
      <c r="J5" s="3" t="s">
        <v>149</v>
      </c>
    </row>
    <row r="6" spans="1:10" ht="30" x14ac:dyDescent="0.25">
      <c r="A6" s="1">
        <v>1</v>
      </c>
      <c r="B6" s="3" t="s">
        <v>150</v>
      </c>
      <c r="C6" s="3" t="s">
        <v>13</v>
      </c>
      <c r="D6" s="3" t="s">
        <v>151</v>
      </c>
      <c r="G6" s="11">
        <v>1</v>
      </c>
      <c r="H6" s="3" t="s">
        <v>150</v>
      </c>
      <c r="I6" s="3" t="s">
        <v>18</v>
      </c>
      <c r="J6" s="3" t="s">
        <v>152</v>
      </c>
    </row>
    <row r="7" spans="1:10" ht="30" x14ac:dyDescent="0.25">
      <c r="A7" s="1">
        <v>2</v>
      </c>
      <c r="B7" s="3" t="s">
        <v>150</v>
      </c>
      <c r="C7" s="3" t="s">
        <v>13</v>
      </c>
      <c r="D7" s="3" t="s">
        <v>153</v>
      </c>
      <c r="G7" s="11">
        <v>2</v>
      </c>
      <c r="H7" s="3" t="s">
        <v>154</v>
      </c>
      <c r="I7" s="3" t="s">
        <v>13</v>
      </c>
      <c r="J7" s="3" t="s">
        <v>155</v>
      </c>
    </row>
    <row r="8" spans="1:10" ht="30" x14ac:dyDescent="0.25">
      <c r="A8" s="1">
        <v>3</v>
      </c>
      <c r="B8" s="3" t="s">
        <v>150</v>
      </c>
      <c r="C8" s="3" t="s">
        <v>13</v>
      </c>
      <c r="D8" s="3" t="s">
        <v>156</v>
      </c>
      <c r="G8" s="11">
        <v>3</v>
      </c>
      <c r="H8" s="3" t="s">
        <v>157</v>
      </c>
      <c r="I8" s="3" t="s">
        <v>23</v>
      </c>
      <c r="J8" s="3" t="s">
        <v>158</v>
      </c>
    </row>
    <row r="9" spans="1:10" ht="30" x14ac:dyDescent="0.25">
      <c r="A9" s="1">
        <v>4</v>
      </c>
      <c r="B9" s="3" t="s">
        <v>150</v>
      </c>
      <c r="C9" s="3" t="s">
        <v>13</v>
      </c>
      <c r="D9" s="3" t="s">
        <v>159</v>
      </c>
      <c r="G9" s="11">
        <v>4</v>
      </c>
      <c r="H9" s="3" t="s">
        <v>150</v>
      </c>
      <c r="I9" s="3" t="s">
        <v>18</v>
      </c>
      <c r="J9" s="3" t="s">
        <v>160</v>
      </c>
    </row>
    <row r="10" spans="1:10" ht="30" x14ac:dyDescent="0.25">
      <c r="A10" s="1">
        <v>5</v>
      </c>
      <c r="B10" s="19" t="s">
        <v>161</v>
      </c>
      <c r="C10" s="19" t="s">
        <v>162</v>
      </c>
      <c r="D10" s="19" t="s">
        <v>163</v>
      </c>
      <c r="G10" s="11">
        <v>5</v>
      </c>
      <c r="H10" s="3" t="s">
        <v>154</v>
      </c>
      <c r="I10" s="3" t="s">
        <v>13</v>
      </c>
      <c r="J10" s="3" t="s">
        <v>164</v>
      </c>
    </row>
    <row r="11" spans="1:10" ht="30" x14ac:dyDescent="0.25">
      <c r="A11" s="1">
        <v>6</v>
      </c>
      <c r="B11" s="3" t="s">
        <v>150</v>
      </c>
      <c r="C11" s="3" t="s">
        <v>13</v>
      </c>
      <c r="D11" s="3" t="s">
        <v>165</v>
      </c>
      <c r="G11" s="11">
        <v>6</v>
      </c>
      <c r="H11" s="3" t="s">
        <v>166</v>
      </c>
      <c r="I11" s="3" t="s">
        <v>28</v>
      </c>
      <c r="J11" s="3" t="s">
        <v>167</v>
      </c>
    </row>
    <row r="12" spans="1:10" ht="30" x14ac:dyDescent="0.25">
      <c r="A12" s="1">
        <v>7</v>
      </c>
      <c r="B12" s="3" t="s">
        <v>154</v>
      </c>
      <c r="C12" s="3" t="s">
        <v>38</v>
      </c>
      <c r="D12" s="3" t="s">
        <v>168</v>
      </c>
      <c r="G12" s="11">
        <v>7</v>
      </c>
      <c r="H12" s="3" t="s">
        <v>169</v>
      </c>
      <c r="I12" s="3" t="s">
        <v>33</v>
      </c>
      <c r="J12" s="3" t="s">
        <v>170</v>
      </c>
    </row>
    <row r="13" spans="1:10" ht="30" x14ac:dyDescent="0.25">
      <c r="A13" s="1">
        <v>8</v>
      </c>
      <c r="B13" s="3" t="s">
        <v>154</v>
      </c>
      <c r="C13" s="3" t="s">
        <v>38</v>
      </c>
      <c r="D13" s="3" t="s">
        <v>171</v>
      </c>
      <c r="G13" s="11">
        <v>8</v>
      </c>
      <c r="H13" s="3" t="s">
        <v>157</v>
      </c>
      <c r="I13" s="3" t="s">
        <v>23</v>
      </c>
      <c r="J13" s="3" t="s">
        <v>172</v>
      </c>
    </row>
    <row r="14" spans="1:10" ht="30" x14ac:dyDescent="0.25">
      <c r="A14" s="1">
        <v>9</v>
      </c>
      <c r="B14" s="3" t="s">
        <v>154</v>
      </c>
      <c r="C14" s="3" t="s">
        <v>38</v>
      </c>
      <c r="D14" s="3" t="s">
        <v>173</v>
      </c>
      <c r="G14" s="11">
        <v>9</v>
      </c>
      <c r="H14" s="3" t="s">
        <v>166</v>
      </c>
      <c r="I14" s="3" t="s">
        <v>28</v>
      </c>
      <c r="J14" s="3" t="s">
        <v>174</v>
      </c>
    </row>
    <row r="15" spans="1:10" ht="30" x14ac:dyDescent="0.25">
      <c r="A15" s="1">
        <v>10</v>
      </c>
      <c r="B15" s="3" t="s">
        <v>154</v>
      </c>
      <c r="C15" s="3" t="s">
        <v>38</v>
      </c>
      <c r="D15" s="3" t="s">
        <v>175</v>
      </c>
      <c r="G15" s="11">
        <v>10</v>
      </c>
      <c r="H15" s="3" t="s">
        <v>176</v>
      </c>
      <c r="I15" s="3" t="s">
        <v>38</v>
      </c>
      <c r="J15" s="3" t="s">
        <v>177</v>
      </c>
    </row>
    <row r="16" spans="1:10" ht="30" x14ac:dyDescent="0.25">
      <c r="A16" s="1">
        <v>11</v>
      </c>
      <c r="B16" s="3" t="s">
        <v>154</v>
      </c>
      <c r="C16" s="3" t="s">
        <v>38</v>
      </c>
      <c r="D16" s="3" t="s">
        <v>178</v>
      </c>
      <c r="G16" s="11">
        <v>11</v>
      </c>
      <c r="H16" s="3" t="s">
        <v>150</v>
      </c>
      <c r="I16" s="3" t="s">
        <v>18</v>
      </c>
      <c r="J16" s="3" t="s">
        <v>179</v>
      </c>
    </row>
    <row r="17" spans="1:10" ht="30" x14ac:dyDescent="0.25">
      <c r="A17" s="1">
        <v>12</v>
      </c>
      <c r="B17" s="3" t="s">
        <v>157</v>
      </c>
      <c r="C17" s="3" t="s">
        <v>28</v>
      </c>
      <c r="D17" s="3" t="s">
        <v>180</v>
      </c>
      <c r="G17" s="11">
        <v>12</v>
      </c>
      <c r="H17" s="3" t="s">
        <v>166</v>
      </c>
      <c r="I17" s="3" t="s">
        <v>28</v>
      </c>
      <c r="J17" s="3" t="s">
        <v>181</v>
      </c>
    </row>
    <row r="18" spans="1:10" ht="30" x14ac:dyDescent="0.25">
      <c r="A18" s="1">
        <v>13</v>
      </c>
      <c r="B18" s="3" t="s">
        <v>157</v>
      </c>
      <c r="C18" s="3" t="s">
        <v>28</v>
      </c>
      <c r="D18" s="3" t="s">
        <v>182</v>
      </c>
      <c r="G18" s="11">
        <v>13</v>
      </c>
      <c r="H18" s="3" t="s">
        <v>169</v>
      </c>
      <c r="I18" s="3" t="s">
        <v>33</v>
      </c>
      <c r="J18" s="3" t="s">
        <v>183</v>
      </c>
    </row>
    <row r="19" spans="1:10" ht="30" x14ac:dyDescent="0.25">
      <c r="A19" s="1">
        <v>14</v>
      </c>
      <c r="B19" s="3" t="s">
        <v>157</v>
      </c>
      <c r="C19" s="3" t="s">
        <v>28</v>
      </c>
      <c r="D19" s="3" t="s">
        <v>184</v>
      </c>
      <c r="G19" s="11">
        <v>14</v>
      </c>
      <c r="H19" s="3" t="s">
        <v>154</v>
      </c>
      <c r="I19" s="3" t="s">
        <v>13</v>
      </c>
      <c r="J19" s="3" t="s">
        <v>185</v>
      </c>
    </row>
    <row r="20" spans="1:10" ht="30" x14ac:dyDescent="0.25">
      <c r="A20" s="1">
        <v>15</v>
      </c>
      <c r="B20" s="3" t="s">
        <v>157</v>
      </c>
      <c r="C20" s="3" t="s">
        <v>28</v>
      </c>
      <c r="D20" s="3" t="s">
        <v>186</v>
      </c>
      <c r="G20" s="11">
        <v>15</v>
      </c>
      <c r="H20" s="3" t="s">
        <v>169</v>
      </c>
      <c r="I20" s="3" t="s">
        <v>33</v>
      </c>
      <c r="J20" s="3" t="s">
        <v>187</v>
      </c>
    </row>
    <row r="21" spans="1:10" ht="30" x14ac:dyDescent="0.25">
      <c r="A21" s="1">
        <v>16</v>
      </c>
      <c r="B21" s="3" t="s">
        <v>157</v>
      </c>
      <c r="C21" s="3" t="s">
        <v>28</v>
      </c>
      <c r="D21" s="3" t="s">
        <v>188</v>
      </c>
      <c r="G21" s="11">
        <v>16</v>
      </c>
      <c r="H21" s="3" t="s">
        <v>157</v>
      </c>
      <c r="I21" s="3" t="s">
        <v>23</v>
      </c>
      <c r="J21" s="3" t="s">
        <v>189</v>
      </c>
    </row>
    <row r="22" spans="1:10" ht="30" x14ac:dyDescent="0.25">
      <c r="A22" s="1">
        <v>17</v>
      </c>
      <c r="B22" s="3" t="s">
        <v>166</v>
      </c>
      <c r="C22" s="3" t="s">
        <v>23</v>
      </c>
      <c r="D22" s="3" t="s">
        <v>190</v>
      </c>
      <c r="G22" s="11">
        <v>17</v>
      </c>
      <c r="H22" s="3" t="s">
        <v>150</v>
      </c>
      <c r="I22" s="3" t="s">
        <v>18</v>
      </c>
      <c r="J22" s="3" t="s">
        <v>191</v>
      </c>
    </row>
    <row r="23" spans="1:10" ht="30" x14ac:dyDescent="0.25">
      <c r="A23" s="1">
        <v>18</v>
      </c>
      <c r="B23" s="3" t="s">
        <v>166</v>
      </c>
      <c r="C23" s="3" t="s">
        <v>23</v>
      </c>
      <c r="D23" s="3" t="s">
        <v>192</v>
      </c>
      <c r="G23" s="11">
        <v>18</v>
      </c>
      <c r="H23" s="3" t="s">
        <v>176</v>
      </c>
      <c r="I23" s="3" t="s">
        <v>38</v>
      </c>
      <c r="J23" s="3" t="s">
        <v>193</v>
      </c>
    </row>
    <row r="24" spans="1:10" ht="30" x14ac:dyDescent="0.25">
      <c r="A24" s="1">
        <v>19</v>
      </c>
      <c r="B24" s="3" t="s">
        <v>166</v>
      </c>
      <c r="C24" s="3" t="s">
        <v>23</v>
      </c>
      <c r="D24" s="3" t="s">
        <v>194</v>
      </c>
      <c r="G24" s="11">
        <v>19</v>
      </c>
      <c r="H24" s="3" t="s">
        <v>154</v>
      </c>
      <c r="I24" s="3" t="s">
        <v>13</v>
      </c>
      <c r="J24" s="3" t="s">
        <v>195</v>
      </c>
    </row>
    <row r="25" spans="1:10" ht="30" x14ac:dyDescent="0.25">
      <c r="A25" s="1">
        <v>20</v>
      </c>
      <c r="B25" s="3" t="s">
        <v>166</v>
      </c>
      <c r="C25" s="3" t="s">
        <v>23</v>
      </c>
      <c r="D25" s="3" t="s">
        <v>196</v>
      </c>
      <c r="G25" s="11">
        <v>20</v>
      </c>
      <c r="H25" s="3" t="s">
        <v>157</v>
      </c>
      <c r="I25" s="3" t="s">
        <v>23</v>
      </c>
      <c r="J25" s="3" t="s">
        <v>197</v>
      </c>
    </row>
    <row r="26" spans="1:10" ht="30" x14ac:dyDescent="0.25">
      <c r="A26" s="1">
        <v>21</v>
      </c>
      <c r="B26" s="3" t="s">
        <v>166</v>
      </c>
      <c r="C26" s="3" t="s">
        <v>23</v>
      </c>
      <c r="D26" s="3" t="s">
        <v>198</v>
      </c>
      <c r="G26" s="11">
        <v>21</v>
      </c>
      <c r="H26" s="3" t="s">
        <v>150</v>
      </c>
      <c r="I26" s="3" t="s">
        <v>18</v>
      </c>
      <c r="J26" s="3" t="s">
        <v>199</v>
      </c>
    </row>
    <row r="27" spans="1:10" ht="30" x14ac:dyDescent="0.25">
      <c r="A27" s="1">
        <v>22</v>
      </c>
      <c r="B27" s="3" t="s">
        <v>169</v>
      </c>
      <c r="C27" s="3" t="s">
        <v>33</v>
      </c>
      <c r="D27" s="3" t="s">
        <v>200</v>
      </c>
      <c r="G27" s="11">
        <v>22</v>
      </c>
      <c r="H27" s="3" t="s">
        <v>176</v>
      </c>
      <c r="I27" s="3" t="s">
        <v>38</v>
      </c>
      <c r="J27" s="3" t="s">
        <v>201</v>
      </c>
    </row>
    <row r="28" spans="1:10" ht="30" x14ac:dyDescent="0.25">
      <c r="A28" s="1">
        <v>23</v>
      </c>
      <c r="B28" s="3" t="s">
        <v>169</v>
      </c>
      <c r="C28" s="3" t="s">
        <v>33</v>
      </c>
      <c r="D28" s="3" t="s">
        <v>202</v>
      </c>
      <c r="G28" s="11">
        <v>23</v>
      </c>
      <c r="H28" s="3" t="s">
        <v>166</v>
      </c>
      <c r="I28" s="3" t="s">
        <v>28</v>
      </c>
      <c r="J28" s="3" t="s">
        <v>203</v>
      </c>
    </row>
    <row r="29" spans="1:10" ht="30" x14ac:dyDescent="0.25">
      <c r="A29" s="1">
        <v>24</v>
      </c>
      <c r="B29" s="3" t="s">
        <v>169</v>
      </c>
      <c r="C29" s="3" t="s">
        <v>33</v>
      </c>
      <c r="D29" s="3" t="s">
        <v>204</v>
      </c>
      <c r="G29" s="11">
        <v>24</v>
      </c>
      <c r="H29" s="3" t="s">
        <v>169</v>
      </c>
      <c r="I29" s="3" t="s">
        <v>33</v>
      </c>
      <c r="J29" s="3" t="s">
        <v>205</v>
      </c>
    </row>
    <row r="30" spans="1:10" ht="30" x14ac:dyDescent="0.25">
      <c r="A30" s="1">
        <v>25</v>
      </c>
      <c r="B30" s="3" t="s">
        <v>169</v>
      </c>
      <c r="C30" s="3" t="s">
        <v>33</v>
      </c>
      <c r="D30" s="3" t="s">
        <v>206</v>
      </c>
      <c r="G30" s="11">
        <v>25</v>
      </c>
      <c r="H30" s="3" t="s">
        <v>150</v>
      </c>
      <c r="I30" s="3" t="s">
        <v>18</v>
      </c>
      <c r="J30" s="3" t="s">
        <v>207</v>
      </c>
    </row>
    <row r="31" spans="1:10" ht="30" x14ac:dyDescent="0.25">
      <c r="A31" s="1">
        <v>26</v>
      </c>
      <c r="B31" s="3" t="s">
        <v>169</v>
      </c>
      <c r="C31" s="3" t="s">
        <v>33</v>
      </c>
      <c r="D31" s="3" t="s">
        <v>208</v>
      </c>
      <c r="G31" s="11">
        <v>26</v>
      </c>
      <c r="H31" s="3" t="s">
        <v>157</v>
      </c>
      <c r="I31" s="3" t="s">
        <v>23</v>
      </c>
      <c r="J31" s="3" t="s">
        <v>209</v>
      </c>
    </row>
    <row r="32" spans="1:10" ht="30" x14ac:dyDescent="0.25">
      <c r="A32" s="1">
        <v>27</v>
      </c>
      <c r="B32" s="3" t="s">
        <v>176</v>
      </c>
      <c r="C32" s="3" t="s">
        <v>18</v>
      </c>
      <c r="D32" s="3" t="s">
        <v>210</v>
      </c>
      <c r="G32" s="11">
        <v>27</v>
      </c>
      <c r="H32" s="3" t="s">
        <v>166</v>
      </c>
      <c r="I32" s="3" t="s">
        <v>28</v>
      </c>
      <c r="J32" s="3" t="s">
        <v>211</v>
      </c>
    </row>
    <row r="33" spans="1:10" ht="30" x14ac:dyDescent="0.25">
      <c r="A33" s="1">
        <v>28</v>
      </c>
      <c r="B33" s="3" t="s">
        <v>176</v>
      </c>
      <c r="C33" s="3" t="s">
        <v>18</v>
      </c>
      <c r="D33" s="3" t="s">
        <v>212</v>
      </c>
      <c r="G33" s="11">
        <v>28</v>
      </c>
      <c r="H33" s="3" t="s">
        <v>154</v>
      </c>
      <c r="I33" s="3" t="s">
        <v>13</v>
      </c>
      <c r="J33" s="3" t="s">
        <v>213</v>
      </c>
    </row>
    <row r="34" spans="1:10" ht="30" x14ac:dyDescent="0.25">
      <c r="A34" s="1">
        <v>29</v>
      </c>
      <c r="B34" s="3" t="s">
        <v>176</v>
      </c>
      <c r="C34" s="3" t="s">
        <v>18</v>
      </c>
      <c r="D34" s="3" t="s">
        <v>214</v>
      </c>
      <c r="G34" s="11">
        <v>29</v>
      </c>
      <c r="H34" s="3" t="s">
        <v>176</v>
      </c>
      <c r="I34" s="3" t="s">
        <v>38</v>
      </c>
      <c r="J34" s="3" t="s">
        <v>215</v>
      </c>
    </row>
    <row r="35" spans="1:10" ht="30" x14ac:dyDescent="0.25">
      <c r="A35" s="1">
        <v>30</v>
      </c>
      <c r="B35" s="3" t="s">
        <v>176</v>
      </c>
      <c r="C35" s="3" t="s">
        <v>18</v>
      </c>
      <c r="D35" s="3" t="s">
        <v>216</v>
      </c>
      <c r="G35" s="11">
        <v>30</v>
      </c>
      <c r="H35" s="3" t="s">
        <v>150</v>
      </c>
      <c r="I35" s="3" t="s">
        <v>18</v>
      </c>
      <c r="J35" s="3" t="s">
        <v>217</v>
      </c>
    </row>
    <row r="36" spans="1:10" ht="30" x14ac:dyDescent="0.25">
      <c r="A36" s="1">
        <v>31</v>
      </c>
      <c r="B36" s="3" t="s">
        <v>176</v>
      </c>
      <c r="C36" s="3" t="s">
        <v>18</v>
      </c>
      <c r="D36" s="3" t="s">
        <v>218</v>
      </c>
      <c r="G36" s="11"/>
      <c r="J36" s="3" t="s">
        <v>219</v>
      </c>
    </row>
  </sheetData>
  <mergeCells count="1">
    <mergeCell ref="A1:C1"/>
  </mergeCells>
  <dataValidations count="1">
    <dataValidation type="list" errorStyle="information" allowBlank="1" showInputMessage="1" errorTitle="Select team member name" error="Select team member name" promptTitle="Select team member name" prompt="select team member name" sqref="C6:C36 I6:I36" xr:uid="{156723B5-1FD0-4251-B869-1854775CB267}">
      <formula1>Team_Member_Name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0C9A-DBF0-4699-96A2-B1424F93F245}">
  <dimension ref="A1:A12"/>
  <sheetViews>
    <sheetView workbookViewId="0">
      <selection activeCell="A13" sqref="A13"/>
    </sheetView>
  </sheetViews>
  <sheetFormatPr defaultRowHeight="15" x14ac:dyDescent="0.25"/>
  <cols>
    <col min="1" max="1" width="68" bestFit="1" customWidth="1"/>
  </cols>
  <sheetData>
    <row r="1" spans="1:1" x14ac:dyDescent="0.25">
      <c r="A1" s="16" t="s">
        <v>220</v>
      </c>
    </row>
    <row r="2" spans="1:1" ht="24.75" x14ac:dyDescent="0.25">
      <c r="A2" s="12" t="s">
        <v>221</v>
      </c>
    </row>
    <row r="3" spans="1:1" ht="17.25" x14ac:dyDescent="0.25">
      <c r="A3" s="13" t="s">
        <v>222</v>
      </c>
    </row>
    <row r="4" spans="1:1" ht="17.25" x14ac:dyDescent="0.25">
      <c r="A4" s="14" t="s">
        <v>223</v>
      </c>
    </row>
    <row r="5" spans="1:1" ht="17.25" x14ac:dyDescent="0.25">
      <c r="A5" s="14" t="s">
        <v>224</v>
      </c>
    </row>
    <row r="6" spans="1:1" ht="17.25" x14ac:dyDescent="0.25">
      <c r="A6" s="14" t="s">
        <v>225</v>
      </c>
    </row>
    <row r="7" spans="1:1" ht="17.25" x14ac:dyDescent="0.25">
      <c r="A7" s="46" t="s">
        <v>226</v>
      </c>
    </row>
    <row r="8" spans="1:1" ht="17.25" x14ac:dyDescent="0.25">
      <c r="A8" s="14" t="s">
        <v>227</v>
      </c>
    </row>
    <row r="9" spans="1:1" ht="17.25" x14ac:dyDescent="0.25">
      <c r="A9" s="14"/>
    </row>
    <row r="10" spans="1:1" x14ac:dyDescent="0.25">
      <c r="A10" t="s">
        <v>228</v>
      </c>
    </row>
    <row r="11" spans="1:1" x14ac:dyDescent="0.25">
      <c r="A11" t="s">
        <v>229</v>
      </c>
    </row>
    <row r="12" spans="1:1" x14ac:dyDescent="0.25">
      <c r="A12" t="s">
        <v>230</v>
      </c>
    </row>
  </sheetData>
  <hyperlinks>
    <hyperlink ref="A1" r:id="rId1" xr:uid="{1D9D7177-5A37-4631-91BC-3B83E1E52B8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opLeftCell="A6" workbookViewId="0">
      <selection activeCell="D23" sqref="D23"/>
    </sheetView>
  </sheetViews>
  <sheetFormatPr defaultRowHeight="15" x14ac:dyDescent="0.25"/>
  <cols>
    <col min="1" max="1" width="20" customWidth="1"/>
    <col min="2" max="2" width="17" customWidth="1"/>
    <col min="3" max="3" width="32.140625" customWidth="1"/>
    <col min="4" max="4" width="46" customWidth="1"/>
    <col min="5" max="5" width="19.140625" customWidth="1"/>
    <col min="6" max="6" width="17" customWidth="1"/>
    <col min="7" max="7" width="19.28515625" customWidth="1"/>
    <col min="8" max="8" width="20" customWidth="1"/>
    <col min="9" max="9" width="24.42578125" customWidth="1"/>
  </cols>
  <sheetData>
    <row r="1" spans="1:8" x14ac:dyDescent="0.25">
      <c r="A1" s="3" t="s">
        <v>231</v>
      </c>
      <c r="B1" s="3" t="s">
        <v>232</v>
      </c>
      <c r="C1" s="3" t="s">
        <v>233</v>
      </c>
      <c r="D1" s="3" t="s">
        <v>234</v>
      </c>
      <c r="E1" s="3" t="s">
        <v>235</v>
      </c>
      <c r="F1" s="3" t="s">
        <v>236</v>
      </c>
      <c r="G1" s="3" t="s">
        <v>129</v>
      </c>
      <c r="H1" s="3" t="s">
        <v>237</v>
      </c>
    </row>
    <row r="2" spans="1:8" x14ac:dyDescent="0.25">
      <c r="A2" s="3" t="s">
        <v>238</v>
      </c>
      <c r="B2" s="3" t="s">
        <v>239</v>
      </c>
      <c r="C2" s="3" t="s">
        <v>240</v>
      </c>
      <c r="D2" s="3" t="s">
        <v>241</v>
      </c>
      <c r="E2" s="4"/>
      <c r="F2" s="4"/>
      <c r="G2" s="3"/>
      <c r="H2" s="3"/>
    </row>
    <row r="3" spans="1:8" x14ac:dyDescent="0.25">
      <c r="A3" s="3" t="s">
        <v>242</v>
      </c>
      <c r="B3" s="3" t="s">
        <v>239</v>
      </c>
      <c r="C3" s="3" t="s">
        <v>243</v>
      </c>
      <c r="D3" s="3" t="s">
        <v>244</v>
      </c>
      <c r="E3" s="4"/>
      <c r="F3" s="4"/>
      <c r="G3" s="3"/>
      <c r="H3" s="3"/>
    </row>
    <row r="4" spans="1:8" x14ac:dyDescent="0.25">
      <c r="A4" s="3" t="s">
        <v>245</v>
      </c>
      <c r="B4" s="3" t="s">
        <v>239</v>
      </c>
      <c r="C4" s="3" t="s">
        <v>243</v>
      </c>
      <c r="D4" s="3" t="s">
        <v>246</v>
      </c>
      <c r="E4" s="4"/>
      <c r="F4" s="4"/>
      <c r="G4" s="3"/>
      <c r="H4" s="3"/>
    </row>
    <row r="5" spans="1:8" x14ac:dyDescent="0.25">
      <c r="A5" s="3" t="s">
        <v>247</v>
      </c>
      <c r="B5" s="3" t="s">
        <v>248</v>
      </c>
      <c r="C5" s="3" t="s">
        <v>243</v>
      </c>
      <c r="D5" s="3" t="s">
        <v>249</v>
      </c>
      <c r="E5" s="4"/>
      <c r="F5" s="4"/>
      <c r="G5" s="3"/>
      <c r="H5" s="3"/>
    </row>
    <row r="6" spans="1:8" x14ac:dyDescent="0.25">
      <c r="A6" s="3" t="s">
        <v>250</v>
      </c>
      <c r="B6" s="3" t="s">
        <v>239</v>
      </c>
      <c r="C6" s="3" t="s">
        <v>251</v>
      </c>
      <c r="D6" s="3" t="s">
        <v>252</v>
      </c>
      <c r="E6" s="4"/>
      <c r="F6" s="4"/>
      <c r="G6" s="3"/>
      <c r="H6" s="3"/>
    </row>
    <row r="7" spans="1:8" x14ac:dyDescent="0.25">
      <c r="A7" s="3" t="s">
        <v>253</v>
      </c>
      <c r="B7" s="3" t="s">
        <v>254</v>
      </c>
      <c r="C7" s="3" t="s">
        <v>255</v>
      </c>
      <c r="D7" s="3" t="s">
        <v>256</v>
      </c>
      <c r="E7" s="4"/>
      <c r="F7" s="4"/>
      <c r="G7" s="3"/>
      <c r="H7" s="3"/>
    </row>
    <row r="8" spans="1:8" x14ac:dyDescent="0.25">
      <c r="A8" s="3" t="s">
        <v>257</v>
      </c>
      <c r="B8" s="3" t="s">
        <v>254</v>
      </c>
      <c r="C8" s="3" t="s">
        <v>258</v>
      </c>
      <c r="D8" s="3" t="s">
        <v>259</v>
      </c>
      <c r="E8" s="4"/>
      <c r="F8" s="4"/>
      <c r="G8" s="3"/>
      <c r="H8" s="3"/>
    </row>
    <row r="9" spans="1:8" x14ac:dyDescent="0.25">
      <c r="A9" s="3" t="s">
        <v>260</v>
      </c>
      <c r="B9" s="3" t="s">
        <v>254</v>
      </c>
      <c r="C9" s="3" t="s">
        <v>258</v>
      </c>
      <c r="D9" s="3" t="s">
        <v>261</v>
      </c>
      <c r="E9" s="4"/>
      <c r="F9" s="4"/>
      <c r="G9" s="3"/>
      <c r="H9" s="3"/>
    </row>
    <row r="10" spans="1:8" x14ac:dyDescent="0.25">
      <c r="A10" s="3" t="s">
        <v>262</v>
      </c>
      <c r="B10" s="3" t="s">
        <v>254</v>
      </c>
      <c r="C10" s="3" t="s">
        <v>251</v>
      </c>
      <c r="D10" s="3" t="s">
        <v>263</v>
      </c>
      <c r="E10" s="4"/>
      <c r="F10" s="4"/>
      <c r="G10" s="3"/>
      <c r="H10" s="3"/>
    </row>
    <row r="11" spans="1:8" x14ac:dyDescent="0.25">
      <c r="A11" s="3" t="s">
        <v>264</v>
      </c>
      <c r="B11" s="3" t="s">
        <v>254</v>
      </c>
      <c r="C11" s="3" t="s">
        <v>258</v>
      </c>
      <c r="D11" s="3" t="s">
        <v>265</v>
      </c>
      <c r="E11" s="4"/>
      <c r="F11" s="4"/>
      <c r="G11" s="3"/>
      <c r="H11" s="3"/>
    </row>
    <row r="13" spans="1:8" x14ac:dyDescent="0.25">
      <c r="A13" s="16" t="s">
        <v>220</v>
      </c>
    </row>
    <row r="14" spans="1:8" ht="17.25" x14ac:dyDescent="0.3">
      <c r="A14" s="15" t="s">
        <v>266</v>
      </c>
    </row>
    <row r="15" spans="1:8" x14ac:dyDescent="0.25">
      <c r="A15" t="s">
        <v>238</v>
      </c>
      <c r="B15" t="s">
        <v>242</v>
      </c>
      <c r="C15" t="s">
        <v>245</v>
      </c>
      <c r="D15" t="s">
        <v>247</v>
      </c>
      <c r="E15" t="s">
        <v>250</v>
      </c>
    </row>
    <row r="16" spans="1:8" ht="30" x14ac:dyDescent="0.25">
      <c r="A16" s="2" t="s">
        <v>267</v>
      </c>
      <c r="B16" s="2" t="s">
        <v>268</v>
      </c>
      <c r="C16" s="18" t="s">
        <v>269</v>
      </c>
      <c r="D16" s="8" t="s">
        <v>270</v>
      </c>
      <c r="E16" s="17">
        <v>6.2</v>
      </c>
    </row>
    <row r="17" spans="1:9" x14ac:dyDescent="0.25">
      <c r="A17" s="2" t="s">
        <v>271</v>
      </c>
      <c r="B17" s="2" t="s">
        <v>272</v>
      </c>
      <c r="C17" s="18" t="s">
        <v>273</v>
      </c>
      <c r="D17" s="8" t="s">
        <v>274</v>
      </c>
      <c r="E17" s="17">
        <v>3.8</v>
      </c>
    </row>
    <row r="18" spans="1:9" ht="30" x14ac:dyDescent="0.25">
      <c r="A18" s="2" t="s">
        <v>275</v>
      </c>
      <c r="B18" s="2" t="s">
        <v>276</v>
      </c>
      <c r="C18" s="18" t="s">
        <v>277</v>
      </c>
      <c r="D18" s="8" t="s">
        <v>278</v>
      </c>
      <c r="E18" s="17">
        <v>5.0999999999999996</v>
      </c>
    </row>
    <row r="21" spans="1:9" ht="17.25" x14ac:dyDescent="0.3">
      <c r="A21" s="15" t="s">
        <v>279</v>
      </c>
    </row>
    <row r="22" spans="1:9" ht="76.5" x14ac:dyDescent="0.25">
      <c r="A22" s="20" t="s">
        <v>280</v>
      </c>
      <c r="B22" s="21" t="s">
        <v>281</v>
      </c>
      <c r="C22" s="21" t="s">
        <v>282</v>
      </c>
      <c r="D22" s="21" t="s">
        <v>283</v>
      </c>
      <c r="E22" s="21" t="s">
        <v>284</v>
      </c>
      <c r="F22" s="21" t="s">
        <v>285</v>
      </c>
      <c r="G22" s="21" t="s">
        <v>286</v>
      </c>
      <c r="H22" s="21" t="s">
        <v>287</v>
      </c>
      <c r="I22" s="21" t="s">
        <v>288</v>
      </c>
    </row>
    <row r="23" spans="1:9" x14ac:dyDescent="0.25">
      <c r="A23" t="s">
        <v>238</v>
      </c>
      <c r="B23" t="s">
        <v>242</v>
      </c>
      <c r="C23" t="s">
        <v>247</v>
      </c>
      <c r="D23" t="s">
        <v>250</v>
      </c>
      <c r="E23" t="s">
        <v>253</v>
      </c>
      <c r="F23" t="s">
        <v>257</v>
      </c>
      <c r="G23" t="s">
        <v>260</v>
      </c>
      <c r="H23" t="s">
        <v>262</v>
      </c>
      <c r="I23" t="s">
        <v>264</v>
      </c>
    </row>
    <row r="24" spans="1:9" x14ac:dyDescent="0.25">
      <c r="A24" t="s">
        <v>267</v>
      </c>
      <c r="B24" t="s">
        <v>268</v>
      </c>
      <c r="C24" t="s">
        <v>270</v>
      </c>
      <c r="D24" s="17">
        <v>6.2</v>
      </c>
      <c r="E24" s="17" t="b">
        <v>0</v>
      </c>
      <c r="F24" s="17">
        <v>8</v>
      </c>
      <c r="G24" s="17">
        <v>47</v>
      </c>
      <c r="H24" s="17">
        <v>1.29</v>
      </c>
      <c r="I24" s="17">
        <v>1</v>
      </c>
    </row>
    <row r="25" spans="1:9" x14ac:dyDescent="0.25">
      <c r="A25" t="s">
        <v>271</v>
      </c>
      <c r="B25" t="s">
        <v>272</v>
      </c>
      <c r="C25" t="s">
        <v>274</v>
      </c>
      <c r="D25" s="17">
        <v>3.8</v>
      </c>
      <c r="E25" s="17" t="b">
        <v>1</v>
      </c>
      <c r="F25" s="17">
        <v>5</v>
      </c>
      <c r="G25" s="17">
        <v>29</v>
      </c>
      <c r="H25" s="17">
        <v>1.32</v>
      </c>
      <c r="I25" s="17">
        <v>1</v>
      </c>
    </row>
    <row r="26" spans="1:9" x14ac:dyDescent="0.25">
      <c r="A26" t="s">
        <v>275</v>
      </c>
      <c r="B26" t="s">
        <v>276</v>
      </c>
      <c r="C26" t="s">
        <v>278</v>
      </c>
      <c r="D26" s="17">
        <v>5.0999999999999996</v>
      </c>
      <c r="E26" s="17" t="b">
        <v>0</v>
      </c>
      <c r="F26" s="17">
        <v>9</v>
      </c>
      <c r="G26" s="17">
        <v>46</v>
      </c>
      <c r="H26" s="17">
        <v>1.76</v>
      </c>
      <c r="I26" s="17">
        <v>1</v>
      </c>
    </row>
    <row r="27" spans="1:9" x14ac:dyDescent="0.25">
      <c r="A27" t="s">
        <v>289</v>
      </c>
      <c r="B27" t="s">
        <v>268</v>
      </c>
      <c r="C27" t="s">
        <v>290</v>
      </c>
      <c r="D27" s="17">
        <v>3.2</v>
      </c>
      <c r="E27" s="17" t="b">
        <v>0</v>
      </c>
      <c r="F27" s="17">
        <v>3</v>
      </c>
      <c r="G27" s="17">
        <v>18</v>
      </c>
      <c r="H27" s="17">
        <v>0.94</v>
      </c>
      <c r="I27" s="17">
        <v>2</v>
      </c>
    </row>
  </sheetData>
  <hyperlinks>
    <hyperlink ref="A13" r:id="rId1" xr:uid="{7047F66A-F8EF-4DE1-8EC4-EC9AE545C57C}"/>
  </hyperlinks>
  <pageMargins left="0.75" right="0.75" top="1" bottom="1" header="0.5" footer="0.5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616A-C033-438B-B356-AD1E491AEBF1}">
  <dimension ref="A1:A6"/>
  <sheetViews>
    <sheetView workbookViewId="0">
      <selection activeCell="B5" sqref="B5"/>
    </sheetView>
  </sheetViews>
  <sheetFormatPr defaultRowHeight="15" x14ac:dyDescent="0.25"/>
  <cols>
    <col min="1" max="1" width="17" bestFit="1" customWidth="1"/>
    <col min="2" max="2" width="11.7109375" bestFit="1" customWidth="1"/>
  </cols>
  <sheetData>
    <row r="1" spans="1:1" x14ac:dyDescent="0.25">
      <c r="A1" s="16" t="s">
        <v>220</v>
      </c>
    </row>
    <row r="2" spans="1:1" x14ac:dyDescent="0.25">
      <c r="A2" t="s">
        <v>291</v>
      </c>
    </row>
    <row r="3" spans="1:1" x14ac:dyDescent="0.25">
      <c r="A3" t="s">
        <v>292</v>
      </c>
    </row>
    <row r="4" spans="1:1" x14ac:dyDescent="0.25">
      <c r="A4" t="s">
        <v>293</v>
      </c>
    </row>
    <row r="5" spans="1:1" x14ac:dyDescent="0.25">
      <c r="A5" t="s">
        <v>294</v>
      </c>
    </row>
    <row r="6" spans="1:1" x14ac:dyDescent="0.25">
      <c r="A6" t="s">
        <v>295</v>
      </c>
    </row>
  </sheetData>
  <hyperlinks>
    <hyperlink ref="A1" r:id="rId1" xr:uid="{6E3A6074-1689-4E3E-9F73-40ED2DA6484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3059-1ED5-48E0-970B-2136BB7F4A2A}">
  <dimension ref="A1:A43"/>
  <sheetViews>
    <sheetView workbookViewId="0">
      <selection activeCell="A44" sqref="A44"/>
    </sheetView>
  </sheetViews>
  <sheetFormatPr defaultRowHeight="15" x14ac:dyDescent="0.25"/>
  <sheetData>
    <row r="1" spans="1:1" x14ac:dyDescent="0.25">
      <c r="A1" s="16" t="s">
        <v>296</v>
      </c>
    </row>
    <row r="43" spans="1:1" x14ac:dyDescent="0.25">
      <c r="A43" s="16" t="s">
        <v>297</v>
      </c>
    </row>
  </sheetData>
  <hyperlinks>
    <hyperlink ref="A1" r:id="rId1" xr:uid="{C0A3731E-3A94-480F-852D-C1E80DC92EDC}"/>
    <hyperlink ref="A43" r:id="rId2" xr:uid="{C64713B3-8426-4DD6-AF5E-C90A994670FF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Team_Pipeline</vt:lpstr>
      <vt:lpstr>Project Schedule</vt:lpstr>
      <vt:lpstr>Role Matrix</vt:lpstr>
      <vt:lpstr>Script</vt:lpstr>
      <vt:lpstr>Tech Stack</vt:lpstr>
      <vt:lpstr>Data Schema (CSV Structure)</vt:lpstr>
      <vt:lpstr>Requirements.txt</vt:lpstr>
      <vt:lpstr>Moodle</vt:lpstr>
      <vt:lpstr>Email_BBK</vt:lpstr>
      <vt:lpstr>Role</vt:lpstr>
      <vt:lpstr>Status</vt:lpstr>
      <vt:lpstr>Team_Member_Name</vt:lpstr>
      <vt:lpstr>Team_Member_Pair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Murphy</dc:creator>
  <cp:keywords/>
  <dc:description/>
  <cp:lastModifiedBy>Gary Murphy</cp:lastModifiedBy>
  <cp:revision/>
  <dcterms:created xsi:type="dcterms:W3CDTF">2026-05-02T06:55:40Z</dcterms:created>
  <dcterms:modified xsi:type="dcterms:W3CDTF">2026-05-29T20:23:05Z</dcterms:modified>
  <cp:category/>
  <cp:contentStatus/>
</cp:coreProperties>
</file>